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defaultThemeVersion="166925"/>
  <mc:AlternateContent xmlns:mc="http://schemas.openxmlformats.org/markup-compatibility/2006">
    <mc:Choice Requires="x15">
      <x15ac:absPath xmlns:x15ac="http://schemas.microsoft.com/office/spreadsheetml/2010/11/ac" url="D:\EXCEL 1\"/>
    </mc:Choice>
  </mc:AlternateContent>
  <xr:revisionPtr revIDLastSave="0" documentId="13_ncr:1_{6F7840FE-52CA-47DC-A7A4-3DE1CEC8C1E8}" xr6:coauthVersionLast="47" xr6:coauthVersionMax="47" xr10:uidLastSave="{00000000-0000-0000-0000-000000000000}"/>
  <bookViews>
    <workbookView xWindow="-120" yWindow="-120" windowWidth="20730" windowHeight="11040" firstSheet="3" activeTab="5" xr2:uid="{EEF9835B-0C9D-4792-95A7-972B36C92216}"/>
  </bookViews>
  <sheets>
    <sheet name="dataset" sheetId="1" r:id="rId1"/>
    <sheet name="Scenario Summary" sheetId="2" r:id="rId2"/>
    <sheet name="regression" sheetId="3" r:id="rId3"/>
    <sheet name="Descriptive Statistics." sheetId="4" r:id="rId4"/>
    <sheet name="Sheet5" sheetId="5" r:id="rId5"/>
    <sheet name="pivot table" sheetId="9" r:id="rId6"/>
    <sheet name="Dashboard" sheetId="10" r:id="rId7"/>
    <sheet name="top 10" sheetId="8" r:id="rId8"/>
  </sheets>
  <definedNames>
    <definedName name="_xlnm._FilterDatabase" localSheetId="0" hidden="1">dataset!$A$1:$N$201</definedName>
    <definedName name="_xlnm._FilterDatabase" localSheetId="7" hidden="1">'top 10'!$A$1:$J$201</definedName>
    <definedName name="Slicer_Product_Category">#N/A</definedName>
    <definedName name="Slicer_Region">#N/A</definedName>
  </definedNames>
  <calcPr calcId="191029"/>
  <pivotCaches>
    <pivotCache cacheId="0" r:id="rId9"/>
    <pivotCache cacheId="8"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0" l="1"/>
  <c r="B2" i="10"/>
  <c r="A2" i="10"/>
  <c r="S2" i="1"/>
  <c r="S3" i="1"/>
  <c r="S4" i="1"/>
  <c r="S5" i="1"/>
  <c r="S6" i="1"/>
  <c r="R1" i="1"/>
  <c r="O3" i="8"/>
  <c r="J201" i="8"/>
  <c r="J200" i="8"/>
  <c r="J199" i="8"/>
  <c r="J198" i="8"/>
  <c r="J197" i="8"/>
  <c r="J196" i="8"/>
  <c r="J195" i="8"/>
  <c r="J194" i="8"/>
  <c r="J193" i="8"/>
  <c r="J192" i="8"/>
  <c r="J191" i="8"/>
  <c r="J190" i="8"/>
  <c r="J189" i="8"/>
  <c r="J188" i="8"/>
  <c r="J187" i="8"/>
  <c r="J186" i="8"/>
  <c r="J185" i="8"/>
  <c r="J184" i="8"/>
  <c r="J183" i="8"/>
  <c r="J182" i="8"/>
  <c r="J181" i="8"/>
  <c r="J180" i="8"/>
  <c r="J179" i="8"/>
  <c r="J178" i="8"/>
  <c r="J177" i="8"/>
  <c r="J176" i="8"/>
  <c r="J175" i="8"/>
  <c r="J174" i="8"/>
  <c r="J173" i="8"/>
  <c r="J172" i="8"/>
  <c r="J171" i="8"/>
  <c r="J170" i="8"/>
  <c r="J169" i="8"/>
  <c r="J168" i="8"/>
  <c r="J167" i="8"/>
  <c r="J166" i="8"/>
  <c r="J165" i="8"/>
  <c r="J164" i="8"/>
  <c r="J163" i="8"/>
  <c r="J162" i="8"/>
  <c r="J161" i="8"/>
  <c r="J160" i="8"/>
  <c r="J159" i="8"/>
  <c r="J158" i="8"/>
  <c r="J157" i="8"/>
  <c r="J156" i="8"/>
  <c r="J155" i="8"/>
  <c r="J154" i="8"/>
  <c r="J153" i="8"/>
  <c r="J152" i="8"/>
  <c r="J151" i="8"/>
  <c r="J150" i="8"/>
  <c r="J149" i="8"/>
  <c r="J148" i="8"/>
  <c r="J147" i="8"/>
  <c r="J146" i="8"/>
  <c r="J145" i="8"/>
  <c r="J144" i="8"/>
  <c r="J143" i="8"/>
  <c r="J142" i="8"/>
  <c r="J141" i="8"/>
  <c r="J140" i="8"/>
  <c r="J139" i="8"/>
  <c r="J138" i="8"/>
  <c r="J137" i="8"/>
  <c r="J136" i="8"/>
  <c r="J135" i="8"/>
  <c r="J134" i="8"/>
  <c r="J133" i="8"/>
  <c r="J132" i="8"/>
  <c r="J131" i="8"/>
  <c r="J130" i="8"/>
  <c r="J129" i="8"/>
  <c r="J128" i="8"/>
  <c r="J127" i="8"/>
  <c r="J126" i="8"/>
  <c r="J125" i="8"/>
  <c r="J124" i="8"/>
  <c r="J123"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8" i="8"/>
  <c r="J7" i="8"/>
  <c r="J6" i="8"/>
  <c r="J5" i="8"/>
  <c r="J4" i="8"/>
  <c r="J3" i="8"/>
  <c r="J2" i="8"/>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 i="1"/>
</calcChain>
</file>

<file path=xl/sharedStrings.xml><?xml version="1.0" encoding="utf-8"?>
<sst xmlns="http://schemas.openxmlformats.org/spreadsheetml/2006/main" count="1739" uniqueCount="141">
  <si>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</si>
  <si>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</si>
  <si>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</si>
  <si>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</si>
  <si>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</si>
  <si>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</si>
  <si>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</si>
  <si>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</si>
  <si>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</si>
  <si>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</si>
  <si>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</si>
  <si>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</si>
  <si>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</si>
  <si>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</si>
  <si>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</si>
  <si>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</si>
  <si>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</si>
  <si>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</si>
  <si>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</si>
  <si>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</si>
  <si>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</si>
  <si>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</si>
  <si>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</si>
  <si>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</si>
  <si>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</si>
  <si>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</si>
  <si>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</si>
  <si>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</si>
  <si>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</si>
  <si>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</si>
  <si>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</si>
  <si>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</si>
  <si>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</si>
  <si>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</si>
  <si>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</si>
  <si>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</si>
  <si>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</si>
  <si>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</si>
  <si>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</si>
  <si>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</si>
  <si>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</si>
  <si>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</si>
  <si>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</si>
  <si>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</si>
  <si>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</si>
  <si>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</si>
  <si>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</si>
  <si>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</si>
  <si>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</si>
  <si>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</si>
  <si>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</si>
  <si>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</si>
  <si>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</si>
  <si>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</si>
  <si>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</si>
  <si>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</si>
  <si>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</si>
  <si>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</si>
  <si>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</si>
  <si>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</si>
  <si>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</si>
  <si>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</si>
  <si>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</si>
  <si>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</si>
  <si>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</si>
  <si>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</si>
  <si>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</si>
  <si>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</si>
  <si>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</si>
  <si>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</si>
  <si>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</si>
  <si>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</si>
  <si>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</si>
  <si>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</si>
  <si>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</si>
  <si>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</si>
  <si>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$G$2</t>
  </si>
  <si>
    <t>$L$3</t>
  </si>
  <si>
    <t>25% Discount Scenario</t>
  </si>
  <si>
    <t>Created by FUZITSU on 14-10-2026</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</si>
  <si>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</si>
  <si>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</si>
  <si>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</si>
  <si>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</si>
  <si>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</si>
  <si>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</si>
  <si>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</si>
  <si>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</si>
  <si>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</si>
  <si>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</si>
  <si>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</si>
  <si>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</si>
  <si>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</si>
  <si>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</si>
  <si>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</si>
  <si>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</si>
  <si>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</si>
  <si>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</si>
  <si>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</si>
  <si>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</si>
  <si>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</si>
  <si>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</si>
  <si>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</si>
  <si>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</si>
  <si>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</si>
  <si>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</si>
  <si>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</si>
  <si>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</si>
  <si>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</si>
  <si>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</si>
  <si>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</si>
  <si>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</si>
  <si>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</si>
  <si>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331.55</t>
  </si>
  <si>
    <t>Residuals</t>
  </si>
  <si>
    <t>Mean</t>
  </si>
  <si>
    <t>Median</t>
  </si>
  <si>
    <t>Mode</t>
  </si>
  <si>
    <t>Standard Deviation</t>
  </si>
  <si>
    <t>Sample Variance</t>
  </si>
  <si>
    <t>Kurtosis</t>
  </si>
  <si>
    <t>Skewness</t>
  </si>
  <si>
    <t>Range</t>
  </si>
  <si>
    <t>Minimum</t>
  </si>
  <si>
    <t>Maximum</t>
  </si>
  <si>
    <t>Sum</t>
  </si>
  <si>
    <t>Count</t>
  </si>
  <si>
    <t>Row Labels</t>
  </si>
  <si>
    <t>Grand Total</t>
  </si>
  <si>
    <t>2024</t>
  </si>
  <si>
    <t>2025</t>
  </si>
  <si>
    <t>Current_Time</t>
  </si>
  <si>
    <t xml:space="preserve">rank </t>
  </si>
  <si>
    <t xml:space="preserve">customer name </t>
  </si>
  <si>
    <t xml:space="preserve">totalsale </t>
  </si>
  <si>
    <t>result cell</t>
  </si>
  <si>
    <t>Column Labels</t>
  </si>
  <si>
    <t>Sum of Sales</t>
  </si>
  <si>
    <t>Total Revenue</t>
  </si>
  <si>
    <t>Total Profit</t>
  </si>
  <si>
    <r>
      <t>Average Order Value</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</si>
</sst>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b/>
      <sz val="11"/>
      <color theme="1"/>
      <name val="Arial Black"/>
      <family val="2"/>
    </font>
  </fonts>
  <fills count="6">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0"/>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34">
    <xf numFmtId="0" fontId="0" fillId="0" borderId="0" xfId="0"/>
    <xf numFmtId="0" fontId="0" fillId="0" borderId="1" xfId="0" applyBorder="1" applyAlignment="1">
      <alignment wrapText="1"/>
    </xf>
    <xf numFmtId="0" fontId="0" fillId="0" borderId="1" xfId="0" applyBorder="1" applyAlignment="1">
      <alignment horizontal="right" wrapText="1"/>
    </xf>
    <xf numFmtId="14" fontId="0" fillId="0" borderId="1" xfId="0" applyNumberFormat="1" applyBorder="1" applyAlignment="1">
      <alignment horizontal="right" wrapText="1"/>
    </xf>
    <xf numFmtId="0" fontId="1" fillId="0" borderId="1" xfId="0" applyFont="1" applyBorder="1" applyAlignment="1">
      <alignment vertical="center" wrapText="1"/>
    </xf>
    <xf numFmtId="0" fontId="0" fillId="0" borderId="2" xfId="0" applyFill="1" applyBorder="1" applyAlignment="1">
      <alignment horizontal="right" wrapText="1"/>
    </xf>
    <xf numFmtId="0" fontId="0" fillId="0" borderId="0" xfId="0" applyFill="1" applyBorder="1" applyAlignment="1">
      <alignment horizontal="right" wrapText="1"/>
    </xf>
    <xf numFmtId="0" fontId="1" fillId="0" borderId="0" xfId="0" applyFont="1" applyBorder="1" applyAlignment="1">
      <alignment vertical="center" wrapText="1"/>
    </xf>
    <xf numFmtId="0" fontId="0" fillId="0" borderId="0" xfId="0" applyFill="1" applyBorder="1" applyAlignment="1"/>
    <xf numFmtId="0" fontId="0" fillId="0" borderId="4" xfId="0" applyFill="1" applyBorder="1" applyAlignment="1"/>
    <xf numFmtId="0" fontId="2" fillId="2" borderId="5" xfId="0" applyFont="1" applyFill="1" applyBorder="1" applyAlignment="1">
      <alignment horizontal="left"/>
    </xf>
    <xf numFmtId="0" fontId="2" fillId="2" borderId="3" xfId="0" applyFont="1" applyFill="1" applyBorder="1" applyAlignment="1">
      <alignment horizontal="left"/>
    </xf>
    <xf numFmtId="0" fontId="0" fillId="0" borderId="6" xfId="0" applyFill="1" applyBorder="1" applyAlignment="1"/>
    <xf numFmtId="0" fontId="3" fillId="3" borderId="0" xfId="0" applyFont="1" applyFill="1" applyBorder="1" applyAlignment="1">
      <alignment horizontal="left"/>
    </xf>
    <xf numFmtId="0" fontId="4" fillId="3" borderId="6" xfId="0" applyFont="1" applyFill="1" applyBorder="1" applyAlignment="1">
      <alignment horizontal="left"/>
    </xf>
    <xf numFmtId="0" fontId="3" fillId="3" borderId="4" xfId="0" applyFont="1" applyFill="1" applyBorder="1" applyAlignment="1">
      <alignment horizontal="left"/>
    </xf>
    <xf numFmtId="0" fontId="5" fillId="2" borderId="3" xfId="0" applyFont="1" applyFill="1" applyBorder="1" applyAlignment="1">
      <alignment horizontal="right"/>
    </xf>
    <xf numFmtId="0" fontId="5" fillId="2" borderId="5" xfId="0" applyFont="1" applyFill="1" applyBorder="1" applyAlignment="1">
      <alignment horizontal="right"/>
    </xf>
    <xf numFmtId="0" fontId="0" fillId="4" borderId="0" xfId="0" applyFill="1" applyBorder="1" applyAlignment="1"/>
    <xf numFmtId="0" fontId="6" fillId="0" borderId="0" xfId="0" applyFont="1" applyFill="1" applyBorder="1" applyAlignment="1">
      <alignment vertical="top" wrapText="1"/>
    </xf>
    <xf numFmtId="0" fontId="7" fillId="0" borderId="7" xfId="0" applyFont="1" applyFill="1" applyBorder="1" applyAlignment="1">
      <alignment horizontal="center"/>
    </xf>
    <xf numFmtId="0" fontId="7" fillId="0" borderId="7" xfId="0" applyFont="1" applyFill="1" applyBorder="1" applyAlignment="1">
      <alignment horizontal="centerContinuous"/>
    </xf>
    <xf numFmtId="0" fontId="0" fillId="0" borderId="0" xfId="0" pivotButton="1"/>
    <xf numFmtId="0" fontId="0" fillId="0" borderId="0" xfId="0" applyAlignment="1">
      <alignment horizontal="left"/>
    </xf>
    <xf numFmtId="22" fontId="0" fillId="0" borderId="0" xfId="0" applyNumberFormat="1" applyBorder="1" applyAlignment="1">
      <alignment horizontal="right" wrapText="1"/>
    </xf>
    <xf numFmtId="0" fontId="1" fillId="0" borderId="0" xfId="0" applyFont="1" applyFill="1" applyBorder="1" applyAlignment="1">
      <alignment vertical="center" wrapText="1"/>
    </xf>
    <xf numFmtId="0" fontId="1" fillId="0" borderId="0" xfId="0" applyFont="1"/>
    <xf numFmtId="0" fontId="0" fillId="0" borderId="0" xfId="0" applyNumberFormat="1"/>
    <xf numFmtId="0" fontId="8" fillId="5" borderId="0" xfId="0" applyFont="1" applyFill="1" applyAlignment="1"/>
    <xf numFmtId="0" fontId="1" fillId="5" borderId="0" xfId="0" applyFont="1" applyFill="1" applyAlignment="1"/>
    <xf numFmtId="0" fontId="1" fillId="0" borderId="0" xfId="0" applyFont="1" applyBorder="1"/>
    <xf numFmtId="0" fontId="1" fillId="0" borderId="9" xfId="0" applyFont="1" applyBorder="1"/>
    <xf numFmtId="0" fontId="1" fillId="0" borderId="10" xfId="0" applyFont="1" applyBorder="1"/>
    <xf numFmtId="0" fontId="1" fillId="0" borderId="8" xfId="0" applyFont="1" applyBorder="1"/>
  </cellXfs>
  <cellStyles count="1">
    <cellStyle name="Normal" xfId="0" builtinId="0"/>
  </cellStyles>
  <dxfs count="12">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dataset!$H$1</c:f>
              <c:strCache>
                <c:ptCount val="1"/>
                <c:pt idx="0">
                  <c:v>Order_Date</c:v>
                </c:pt>
              </c:strCache>
            </c:strRef>
          </c:tx>
          <c:spPr>
            <a:ln w="28575" cap="rnd">
              <a:solidFill>
                <a:schemeClr val="accent1"/>
              </a:solidFill>
              <a:round/>
            </a:ln>
            <a:effectLst/>
          </c:spPr>
          <c:marker>
            <c:symbol val="none"/>
          </c:marker>
          <c:val>
            <c:numRef>
              <c:f>dataset!$H$2:$H$201</c:f>
              <c:numCache>
                <c:formatCode>m/d/yyyy</c:formatCode>
                <c:ptCount val="200"/>
                <c:pt idx="0">
                  <c:v>45392</c:v>
                </c:pt>
                <c:pt idx="1">
                  <c:v>45393</c:v>
                </c:pt>
                <c:pt idx="2">
                  <c:v>45396</c:v>
                </c:pt>
                <c:pt idx="3">
                  <c:v>45396</c:v>
                </c:pt>
                <c:pt idx="4">
                  <c:v>45397</c:v>
                </c:pt>
                <c:pt idx="5">
                  <c:v>45398</c:v>
                </c:pt>
                <c:pt idx="6">
                  <c:v>45398</c:v>
                </c:pt>
                <c:pt idx="7">
                  <c:v>45401</c:v>
                </c:pt>
                <c:pt idx="8">
                  <c:v>45401</c:v>
                </c:pt>
                <c:pt idx="9">
                  <c:v>45401</c:v>
                </c:pt>
                <c:pt idx="10">
                  <c:v>45402</c:v>
                </c:pt>
                <c:pt idx="11">
                  <c:v>45404</c:v>
                </c:pt>
                <c:pt idx="12">
                  <c:v>45406</c:v>
                </c:pt>
                <c:pt idx="13">
                  <c:v>45406</c:v>
                </c:pt>
                <c:pt idx="14">
                  <c:v>45409</c:v>
                </c:pt>
                <c:pt idx="15">
                  <c:v>45410</c:v>
                </c:pt>
                <c:pt idx="16">
                  <c:v>45411</c:v>
                </c:pt>
                <c:pt idx="17">
                  <c:v>45411</c:v>
                </c:pt>
                <c:pt idx="18">
                  <c:v>45412</c:v>
                </c:pt>
                <c:pt idx="19">
                  <c:v>45414</c:v>
                </c:pt>
                <c:pt idx="20">
                  <c:v>45415</c:v>
                </c:pt>
                <c:pt idx="21">
                  <c:v>45416</c:v>
                </c:pt>
                <c:pt idx="22">
                  <c:v>45416</c:v>
                </c:pt>
                <c:pt idx="23">
                  <c:v>45416</c:v>
                </c:pt>
                <c:pt idx="24">
                  <c:v>45418</c:v>
                </c:pt>
                <c:pt idx="25">
                  <c:v>45418</c:v>
                </c:pt>
                <c:pt idx="26">
                  <c:v>45420</c:v>
                </c:pt>
                <c:pt idx="27">
                  <c:v>45422</c:v>
                </c:pt>
                <c:pt idx="28">
                  <c:v>45426</c:v>
                </c:pt>
                <c:pt idx="29">
                  <c:v>45426</c:v>
                </c:pt>
                <c:pt idx="30">
                  <c:v>45427</c:v>
                </c:pt>
                <c:pt idx="31">
                  <c:v>45428</c:v>
                </c:pt>
                <c:pt idx="32">
                  <c:v>45428</c:v>
                </c:pt>
                <c:pt idx="33">
                  <c:v>45429</c:v>
                </c:pt>
                <c:pt idx="34">
                  <c:v>45429</c:v>
                </c:pt>
                <c:pt idx="35">
                  <c:v>45429</c:v>
                </c:pt>
                <c:pt idx="36">
                  <c:v>45429</c:v>
                </c:pt>
                <c:pt idx="37">
                  <c:v>45434</c:v>
                </c:pt>
                <c:pt idx="38">
                  <c:v>45434</c:v>
                </c:pt>
                <c:pt idx="39">
                  <c:v>45435</c:v>
                </c:pt>
                <c:pt idx="40">
                  <c:v>45445</c:v>
                </c:pt>
                <c:pt idx="41">
                  <c:v>45447</c:v>
                </c:pt>
                <c:pt idx="42">
                  <c:v>45447</c:v>
                </c:pt>
                <c:pt idx="43">
                  <c:v>45448</c:v>
                </c:pt>
                <c:pt idx="44">
                  <c:v>45448</c:v>
                </c:pt>
                <c:pt idx="45">
                  <c:v>45449</c:v>
                </c:pt>
                <c:pt idx="46">
                  <c:v>45449</c:v>
                </c:pt>
                <c:pt idx="47">
                  <c:v>45450</c:v>
                </c:pt>
                <c:pt idx="48">
                  <c:v>45451</c:v>
                </c:pt>
                <c:pt idx="49">
                  <c:v>45457</c:v>
                </c:pt>
                <c:pt idx="50">
                  <c:v>45461</c:v>
                </c:pt>
                <c:pt idx="51">
                  <c:v>45463</c:v>
                </c:pt>
                <c:pt idx="52">
                  <c:v>45464</c:v>
                </c:pt>
                <c:pt idx="53">
                  <c:v>45466</c:v>
                </c:pt>
                <c:pt idx="54">
                  <c:v>45468</c:v>
                </c:pt>
                <c:pt idx="55">
                  <c:v>45468</c:v>
                </c:pt>
                <c:pt idx="56">
                  <c:v>45470</c:v>
                </c:pt>
                <c:pt idx="57">
                  <c:v>45471</c:v>
                </c:pt>
                <c:pt idx="58">
                  <c:v>45473</c:v>
                </c:pt>
                <c:pt idx="59">
                  <c:v>45473</c:v>
                </c:pt>
                <c:pt idx="60">
                  <c:v>45478</c:v>
                </c:pt>
                <c:pt idx="61">
                  <c:v>45479</c:v>
                </c:pt>
                <c:pt idx="62">
                  <c:v>45481</c:v>
                </c:pt>
                <c:pt idx="63">
                  <c:v>45481</c:v>
                </c:pt>
                <c:pt idx="64">
                  <c:v>45482</c:v>
                </c:pt>
                <c:pt idx="65">
                  <c:v>45487</c:v>
                </c:pt>
                <c:pt idx="66">
                  <c:v>45488</c:v>
                </c:pt>
                <c:pt idx="67">
                  <c:v>45488</c:v>
                </c:pt>
                <c:pt idx="68">
                  <c:v>45494</c:v>
                </c:pt>
                <c:pt idx="69">
                  <c:v>45502</c:v>
                </c:pt>
                <c:pt idx="70">
                  <c:v>45503</c:v>
                </c:pt>
                <c:pt idx="71">
                  <c:v>45504</c:v>
                </c:pt>
                <c:pt idx="72">
                  <c:v>45509</c:v>
                </c:pt>
                <c:pt idx="73">
                  <c:v>45509</c:v>
                </c:pt>
                <c:pt idx="74">
                  <c:v>45512</c:v>
                </c:pt>
                <c:pt idx="75">
                  <c:v>45513</c:v>
                </c:pt>
                <c:pt idx="76">
                  <c:v>45519</c:v>
                </c:pt>
                <c:pt idx="77">
                  <c:v>45522</c:v>
                </c:pt>
                <c:pt idx="78">
                  <c:v>45523</c:v>
                </c:pt>
                <c:pt idx="79">
                  <c:v>45526</c:v>
                </c:pt>
                <c:pt idx="80">
                  <c:v>45534</c:v>
                </c:pt>
                <c:pt idx="81">
                  <c:v>45534</c:v>
                </c:pt>
                <c:pt idx="82">
                  <c:v>45536</c:v>
                </c:pt>
                <c:pt idx="83">
                  <c:v>45536</c:v>
                </c:pt>
                <c:pt idx="84">
                  <c:v>45544</c:v>
                </c:pt>
                <c:pt idx="85">
                  <c:v>45544</c:v>
                </c:pt>
                <c:pt idx="86">
                  <c:v>45546</c:v>
                </c:pt>
                <c:pt idx="87">
                  <c:v>45547</c:v>
                </c:pt>
                <c:pt idx="88">
                  <c:v>45549</c:v>
                </c:pt>
                <c:pt idx="89">
                  <c:v>45549</c:v>
                </c:pt>
                <c:pt idx="90">
                  <c:v>45551</c:v>
                </c:pt>
                <c:pt idx="91">
                  <c:v>45552</c:v>
                </c:pt>
                <c:pt idx="92">
                  <c:v>45552</c:v>
                </c:pt>
                <c:pt idx="93">
                  <c:v>45553</c:v>
                </c:pt>
                <c:pt idx="94">
                  <c:v>45557</c:v>
                </c:pt>
                <c:pt idx="95">
                  <c:v>45558</c:v>
                </c:pt>
                <c:pt idx="96">
                  <c:v>45559</c:v>
                </c:pt>
                <c:pt idx="97">
                  <c:v>45559</c:v>
                </c:pt>
                <c:pt idx="98">
                  <c:v>45564</c:v>
                </c:pt>
                <c:pt idx="99">
                  <c:v>45564</c:v>
                </c:pt>
                <c:pt idx="100">
                  <c:v>45565</c:v>
                </c:pt>
                <c:pt idx="101">
                  <c:v>45565</c:v>
                </c:pt>
                <c:pt idx="102">
                  <c:v>45567</c:v>
                </c:pt>
                <c:pt idx="103">
                  <c:v>45570</c:v>
                </c:pt>
                <c:pt idx="104">
                  <c:v>45575</c:v>
                </c:pt>
                <c:pt idx="105">
                  <c:v>45577</c:v>
                </c:pt>
                <c:pt idx="106">
                  <c:v>45577</c:v>
                </c:pt>
                <c:pt idx="107">
                  <c:v>45580</c:v>
                </c:pt>
                <c:pt idx="108">
                  <c:v>45581</c:v>
                </c:pt>
                <c:pt idx="109">
                  <c:v>45581</c:v>
                </c:pt>
                <c:pt idx="110">
                  <c:v>45582</c:v>
                </c:pt>
                <c:pt idx="111">
                  <c:v>45584</c:v>
                </c:pt>
                <c:pt idx="112">
                  <c:v>45584</c:v>
                </c:pt>
                <c:pt idx="113">
                  <c:v>45585</c:v>
                </c:pt>
                <c:pt idx="114">
                  <c:v>45593</c:v>
                </c:pt>
                <c:pt idx="115">
                  <c:v>45595</c:v>
                </c:pt>
                <c:pt idx="116">
                  <c:v>45597</c:v>
                </c:pt>
                <c:pt idx="117">
                  <c:v>45599</c:v>
                </c:pt>
                <c:pt idx="118">
                  <c:v>45605</c:v>
                </c:pt>
                <c:pt idx="119">
                  <c:v>45605</c:v>
                </c:pt>
                <c:pt idx="120">
                  <c:v>45608</c:v>
                </c:pt>
                <c:pt idx="121">
                  <c:v>45611</c:v>
                </c:pt>
                <c:pt idx="122">
                  <c:v>45612</c:v>
                </c:pt>
                <c:pt idx="123">
                  <c:v>45613</c:v>
                </c:pt>
                <c:pt idx="124">
                  <c:v>45613</c:v>
                </c:pt>
                <c:pt idx="125">
                  <c:v>45613</c:v>
                </c:pt>
                <c:pt idx="126">
                  <c:v>45615</c:v>
                </c:pt>
                <c:pt idx="127">
                  <c:v>45615</c:v>
                </c:pt>
                <c:pt idx="128">
                  <c:v>45615</c:v>
                </c:pt>
                <c:pt idx="129">
                  <c:v>45616</c:v>
                </c:pt>
                <c:pt idx="130">
                  <c:v>45616</c:v>
                </c:pt>
                <c:pt idx="131">
                  <c:v>45622</c:v>
                </c:pt>
                <c:pt idx="132">
                  <c:v>45622</c:v>
                </c:pt>
                <c:pt idx="133">
                  <c:v>45624</c:v>
                </c:pt>
                <c:pt idx="134">
                  <c:v>45625</c:v>
                </c:pt>
                <c:pt idx="135">
                  <c:v>45626</c:v>
                </c:pt>
                <c:pt idx="136">
                  <c:v>45630</c:v>
                </c:pt>
                <c:pt idx="137">
                  <c:v>45631</c:v>
                </c:pt>
                <c:pt idx="138">
                  <c:v>45638</c:v>
                </c:pt>
                <c:pt idx="139">
                  <c:v>45640</c:v>
                </c:pt>
                <c:pt idx="140">
                  <c:v>45640</c:v>
                </c:pt>
                <c:pt idx="141">
                  <c:v>45646</c:v>
                </c:pt>
                <c:pt idx="142">
                  <c:v>45647</c:v>
                </c:pt>
                <c:pt idx="143">
                  <c:v>45650</c:v>
                </c:pt>
                <c:pt idx="144">
                  <c:v>45651</c:v>
                </c:pt>
                <c:pt idx="145">
                  <c:v>45651</c:v>
                </c:pt>
                <c:pt idx="146">
                  <c:v>45656</c:v>
                </c:pt>
                <c:pt idx="147">
                  <c:v>45658</c:v>
                </c:pt>
                <c:pt idx="148">
                  <c:v>45658</c:v>
                </c:pt>
                <c:pt idx="149">
                  <c:v>45659</c:v>
                </c:pt>
                <c:pt idx="150">
                  <c:v>45660</c:v>
                </c:pt>
                <c:pt idx="151">
                  <c:v>45660</c:v>
                </c:pt>
                <c:pt idx="152">
                  <c:v>45663</c:v>
                </c:pt>
                <c:pt idx="153">
                  <c:v>45667</c:v>
                </c:pt>
                <c:pt idx="154">
                  <c:v>45669</c:v>
                </c:pt>
                <c:pt idx="155">
                  <c:v>45670</c:v>
                </c:pt>
                <c:pt idx="156">
                  <c:v>45673</c:v>
                </c:pt>
                <c:pt idx="157">
                  <c:v>45674</c:v>
                </c:pt>
                <c:pt idx="158">
                  <c:v>45674</c:v>
                </c:pt>
                <c:pt idx="159">
                  <c:v>45674</c:v>
                </c:pt>
                <c:pt idx="160">
                  <c:v>45677</c:v>
                </c:pt>
                <c:pt idx="161">
                  <c:v>45678</c:v>
                </c:pt>
                <c:pt idx="162">
                  <c:v>45684</c:v>
                </c:pt>
                <c:pt idx="163">
                  <c:v>45690</c:v>
                </c:pt>
                <c:pt idx="164">
                  <c:v>45692</c:v>
                </c:pt>
                <c:pt idx="165">
                  <c:v>45693</c:v>
                </c:pt>
                <c:pt idx="166">
                  <c:v>45695</c:v>
                </c:pt>
                <c:pt idx="167">
                  <c:v>45698</c:v>
                </c:pt>
                <c:pt idx="168">
                  <c:v>45703</c:v>
                </c:pt>
                <c:pt idx="169">
                  <c:v>45705</c:v>
                </c:pt>
                <c:pt idx="170">
                  <c:v>45707</c:v>
                </c:pt>
                <c:pt idx="171">
                  <c:v>45708</c:v>
                </c:pt>
                <c:pt idx="172">
                  <c:v>45709</c:v>
                </c:pt>
                <c:pt idx="173">
                  <c:v>45712</c:v>
                </c:pt>
                <c:pt idx="174">
                  <c:v>45712</c:v>
                </c:pt>
                <c:pt idx="175">
                  <c:v>45713</c:v>
                </c:pt>
                <c:pt idx="176">
                  <c:v>45715</c:v>
                </c:pt>
                <c:pt idx="177">
                  <c:v>45717</c:v>
                </c:pt>
                <c:pt idx="178">
                  <c:v>45718</c:v>
                </c:pt>
                <c:pt idx="179">
                  <c:v>45721</c:v>
                </c:pt>
                <c:pt idx="180">
                  <c:v>45724</c:v>
                </c:pt>
                <c:pt idx="181">
                  <c:v>45725</c:v>
                </c:pt>
                <c:pt idx="182">
                  <c:v>45726</c:v>
                </c:pt>
                <c:pt idx="183">
                  <c:v>45727</c:v>
                </c:pt>
                <c:pt idx="184">
                  <c:v>45733</c:v>
                </c:pt>
                <c:pt idx="185">
                  <c:v>45734</c:v>
                </c:pt>
                <c:pt idx="186">
                  <c:v>45736</c:v>
                </c:pt>
                <c:pt idx="187">
                  <c:v>45738</c:v>
                </c:pt>
                <c:pt idx="188">
                  <c:v>45741</c:v>
                </c:pt>
                <c:pt idx="189">
                  <c:v>45742</c:v>
                </c:pt>
                <c:pt idx="190">
                  <c:v>45743</c:v>
                </c:pt>
                <c:pt idx="191">
                  <c:v>45743</c:v>
                </c:pt>
                <c:pt idx="192">
                  <c:v>45745</c:v>
                </c:pt>
                <c:pt idx="193">
                  <c:v>45745</c:v>
                </c:pt>
                <c:pt idx="194">
                  <c:v>45746</c:v>
                </c:pt>
                <c:pt idx="195">
                  <c:v>45746</c:v>
                </c:pt>
                <c:pt idx="196">
                  <c:v>45749</c:v>
                </c:pt>
                <c:pt idx="197">
                  <c:v>45752</c:v>
                </c:pt>
                <c:pt idx="198">
                  <c:v>45752</c:v>
                </c:pt>
                <c:pt idx="199">
                  <c:v>45754</c:v>
                </c:pt>
              </c:numCache>
            </c:numRef>
          </c:val>
          <c:smooth val="0"/>
          <c:extLst>
            <c:ext xmlns:c16="http://schemas.microsoft.com/office/drawing/2014/chart" uri="{C3380CC4-5D6E-409C-BE32-E72D297353CC}">
              <c16:uniqueId val="{00000000-F043-4787-849A-B22F97DCC653}"/>
            </c:ext>
          </c:extLst>
        </c:ser>
        <c:dLbls>
          <c:showLegendKey val="0"/>
          <c:showVal val="0"/>
          <c:showCatName val="0"/>
          <c:showSerName val="0"/>
          <c:showPercent val="0"/>
          <c:showBubbleSize val="0"/>
        </c:dLbls>
        <c:smooth val="0"/>
        <c:axId val="562510736"/>
        <c:axId val="562511392"/>
      </c:lineChart>
      <c:catAx>
        <c:axId val="5625107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11392"/>
        <c:crosses val="autoZero"/>
        <c:auto val="1"/>
        <c:lblAlgn val="ctr"/>
        <c:lblOffset val="100"/>
        <c:noMultiLvlLbl val="0"/>
      </c:catAx>
      <c:valAx>
        <c:axId val="562511392"/>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1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[pro2(excel)(.xlsx]pivot table!PivotTable2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table'!$B$3:$B$4</c:f>
              <c:strCache>
                <c:ptCount val="1"/>
                <c:pt idx="0">
                  <c:v>Clothing</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'pivot table'!$A$5:$A$10</c:f>
              <c:strCache>
                <c:ptCount val="5"/>
                <c:pt idx="0">
                  <c:v>Central</c:v>
                </c:pt>
                <c:pt idx="1">
                  <c:v>East</c:v>
                </c:pt>
                <c:pt idx="2">
                  <c:v>North</c:v>
                </c:pt>
                <c:pt idx="3">
                  <c:v>South</c:v>
                </c:pt>
                <c:pt idx="4">
                  <c:v>West</c:v>
                </c:pt>
              </c:strCache>
            </c:strRef>
          </c:cat>
          <c:val>
            <c:numRef>
              <c:f>'pivot table'!$B$5:$B$10</c:f>
              <c:numCache>
                <c:formatCode>General</c:formatCode>
                <c:ptCount val="5"/>
                <c:pt idx="0">
                  <c:v>12200.26</c:v>
                </c:pt>
                <c:pt idx="1">
                  <c:v>2401.4499999999998</c:v>
                </c:pt>
                <c:pt idx="2">
                  <c:v>8422.82</c:v>
                </c:pt>
                <c:pt idx="3">
                  <c:v>8393.630000000001</c:v>
                </c:pt>
                <c:pt idx="4">
                  <c:v>10509.43</c:v>
                </c:pt>
              </c:numCache>
            </c:numRef>
          </c:val>
          <c:extLst>
            <c:ext xmlns:c16="http://schemas.microsoft.com/office/drawing/2014/chart" uri="{C3380CC4-5D6E-409C-BE32-E72D297353CC}">
              <c16:uniqueId val="{00000000-A95D-4C42-B588-471C3245779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[pro2(excel)(.xlsx]pivot table!PivotTable2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Clothing</c:v>
                </c:pt>
              </c:strCache>
            </c:strRef>
          </c:tx>
          <c:spPr>
            <a:solidFill>
              <a:schemeClr val="accent2"/>
            </a:solidFill>
            <a:ln>
              <a:noFill/>
            </a:ln>
            <a:effectLst/>
            <a:sp3d/>
          </c:spPr>
          <c:invertIfNegative val="0"/>
          <c:cat>
            <c:strRef>
              <c:f>'pivot table'!$A$5:$A$10</c:f>
              <c:strCache>
                <c:ptCount val="5"/>
                <c:pt idx="0">
                  <c:v>Central</c:v>
                </c:pt>
                <c:pt idx="1">
                  <c:v>East</c:v>
                </c:pt>
                <c:pt idx="2">
                  <c:v>North</c:v>
                </c:pt>
                <c:pt idx="3">
                  <c:v>South</c:v>
                </c:pt>
                <c:pt idx="4">
                  <c:v>West</c:v>
                </c:pt>
              </c:strCache>
            </c:strRef>
          </c:cat>
          <c:val>
            <c:numRef>
              <c:f>'pivot table'!$B$5:$B$10</c:f>
              <c:numCache>
                <c:formatCode>General</c:formatCode>
                <c:ptCount val="5"/>
                <c:pt idx="0">
                  <c:v>12200.26</c:v>
                </c:pt>
                <c:pt idx="1">
                  <c:v>2401.4499999999998</c:v>
                </c:pt>
                <c:pt idx="2">
                  <c:v>8422.82</c:v>
                </c:pt>
                <c:pt idx="3">
                  <c:v>8393.630000000001</c:v>
                </c:pt>
                <c:pt idx="4">
                  <c:v>10509.43</c:v>
                </c:pt>
              </c:numCache>
            </c:numRef>
          </c:val>
          <c:extLst>
            <c:ext xmlns:c16="http://schemas.microsoft.com/office/drawing/2014/chart" uri="{C3380CC4-5D6E-409C-BE32-E72D297353CC}">
              <c16:uniqueId val="{00000000-0C00-4FC7-98B4-F9D9210EB533}"/>
            </c:ext>
          </c:extLst>
        </c:ser>
        <c:dLbls>
          <c:showLegendKey val="0"/>
          <c:showVal val="0"/>
          <c:showCatName val="0"/>
          <c:showSerName val="0"/>
          <c:showPercent val="0"/>
          <c:showBubbleSize val="0"/>
        </c:dLbls>
        <c:gapWidth val="150"/>
        <c:shape val="box"/>
        <c:axId val="530398624"/>
        <c:axId val="530404200"/>
        <c:axId val="0"/>
      </c:bar3DChart>
      <c:catAx>
        <c:axId val="530398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04200"/>
        <c:crosses val="autoZero"/>
        <c:auto val="1"/>
        <c:lblAlgn val="ctr"/>
        <c:lblOffset val="100"/>
        <c:noMultiLvlLbl val="0"/>
      </c:catAx>
      <c:valAx>
        <c:axId val="530404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9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[pro2(excel)(.xlsx]pivot table!PivotTable2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Clothing</c:v>
                </c:pt>
              </c:strCache>
            </c:strRef>
          </c:tx>
          <c:spPr>
            <a:solidFill>
              <a:schemeClr val="accent2"/>
            </a:solidFill>
            <a:ln>
              <a:noFill/>
            </a:ln>
            <a:effectLst/>
            <a:sp3d/>
          </c:spPr>
          <c:invertIfNegative val="0"/>
          <c:cat>
            <c:strRef>
              <c:f>'pivot table'!$A$5:$A$10</c:f>
              <c:strCache>
                <c:ptCount val="5"/>
                <c:pt idx="0">
                  <c:v>Central</c:v>
                </c:pt>
                <c:pt idx="1">
                  <c:v>East</c:v>
                </c:pt>
                <c:pt idx="2">
                  <c:v>North</c:v>
                </c:pt>
                <c:pt idx="3">
                  <c:v>South</c:v>
                </c:pt>
                <c:pt idx="4">
                  <c:v>West</c:v>
                </c:pt>
              </c:strCache>
            </c:strRef>
          </c:cat>
          <c:val>
            <c:numRef>
              <c:f>'pivot table'!$B$5:$B$10</c:f>
              <c:numCache>
                <c:formatCode>General</c:formatCode>
                <c:ptCount val="5"/>
                <c:pt idx="0">
                  <c:v>12200.26</c:v>
                </c:pt>
                <c:pt idx="1">
                  <c:v>2401.4499999999998</c:v>
                </c:pt>
                <c:pt idx="2">
                  <c:v>8422.82</c:v>
                </c:pt>
                <c:pt idx="3">
                  <c:v>8393.630000000001</c:v>
                </c:pt>
                <c:pt idx="4">
                  <c:v>10509.43</c:v>
                </c:pt>
              </c:numCache>
            </c:numRef>
          </c:val>
          <c:extLst>
            <c:ext xmlns:c16="http://schemas.microsoft.com/office/drawing/2014/chart" uri="{C3380CC4-5D6E-409C-BE32-E72D297353CC}">
              <c16:uniqueId val="{00000000-5FC5-46E6-BB1C-4C63D4984588}"/>
            </c:ext>
          </c:extLst>
        </c:ser>
        <c:dLbls>
          <c:showLegendKey val="0"/>
          <c:showVal val="0"/>
          <c:showCatName val="0"/>
          <c:showSerName val="0"/>
          <c:showPercent val="0"/>
          <c:showBubbleSize val="0"/>
        </c:dLbls>
        <c:gapWidth val="150"/>
        <c:shape val="box"/>
        <c:axId val="530398624"/>
        <c:axId val="530404200"/>
        <c:axId val="0"/>
      </c:bar3DChart>
      <c:catAx>
        <c:axId val="530398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404200"/>
        <c:crosses val="autoZero"/>
        <c:auto val="1"/>
        <c:lblAlgn val="ctr"/>
        <c:lblOffset val="100"/>
        <c:noMultiLvlLbl val="0"/>
      </c:catAx>
      <c:valAx>
        <c:axId val="530404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39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[pro2(excel)(.xlsx]pivot table!PivotTable2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pivotFmt>
      <c:pivotFmt>
        <c:idx val="8"/>
        <c:spPr>
          <a:solidFill>
            <a:schemeClr val="accent3"/>
          </a:solidFill>
          <a:ln w="25400">
            <a:solidFill>
              <a:schemeClr val="lt1"/>
            </a:solidFill>
          </a:ln>
          <a:effectLst/>
          <a:sp3d contourW="25400">
            <a:contourClr>
              <a:schemeClr val="lt1"/>
            </a:contourClr>
          </a:sp3d>
        </c:spPr>
      </c:pivotFmt>
      <c:pivotFmt>
        <c:idx val="9"/>
        <c:spPr>
          <a:solidFill>
            <a:schemeClr val="accent4"/>
          </a:solidFill>
          <a:ln w="25400">
            <a:solidFill>
              <a:schemeClr val="lt1"/>
            </a:solidFill>
          </a:ln>
          <a:effectLst/>
          <a:sp3d contourW="25400">
            <a:contourClr>
              <a:schemeClr val="lt1"/>
            </a:contourClr>
          </a:sp3d>
        </c:spPr>
      </c:pivotFmt>
      <c:pivotFmt>
        <c:idx val="10"/>
        <c:spPr>
          <a:solidFill>
            <a:schemeClr val="accent5"/>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2"/>
          </a:solidFill>
          <a:ln w="25400">
            <a:solidFill>
              <a:schemeClr val="lt1"/>
            </a:solidFill>
          </a:ln>
          <a:effectLst/>
          <a:sp3d contourW="25400">
            <a:contourClr>
              <a:schemeClr val="lt1"/>
            </a:contourClr>
          </a:sp3d>
        </c:spPr>
      </c:pivotFmt>
      <c:pivotFmt>
        <c:idx val="14"/>
        <c:spPr>
          <a:solidFill>
            <a:schemeClr val="accent3"/>
          </a:solidFill>
          <a:ln w="25400">
            <a:solidFill>
              <a:schemeClr val="lt1"/>
            </a:solidFill>
          </a:ln>
          <a:effectLst/>
          <a:sp3d contourW="25400">
            <a:contourClr>
              <a:schemeClr val="lt1"/>
            </a:contourClr>
          </a:sp3d>
        </c:spPr>
      </c:pivotFmt>
      <c:pivotFmt>
        <c:idx val="15"/>
        <c:spPr>
          <a:solidFill>
            <a:schemeClr val="accent4"/>
          </a:solidFill>
          <a:ln w="25400">
            <a:solidFill>
              <a:schemeClr val="lt1"/>
            </a:solidFill>
          </a:ln>
          <a:effectLst/>
          <a:sp3d contourW="25400">
            <a:contourClr>
              <a:schemeClr val="lt1"/>
            </a:contourClr>
          </a:sp3d>
        </c:spPr>
      </c:pivotFmt>
      <c:pivotFmt>
        <c:idx val="16"/>
        <c:spPr>
          <a:solidFill>
            <a:schemeClr val="accent5"/>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2"/>
          </a:solidFill>
          <a:ln w="25400">
            <a:solidFill>
              <a:schemeClr val="lt1"/>
            </a:solidFill>
          </a:ln>
          <a:effectLst/>
          <a:sp3d contourW="25400">
            <a:contourClr>
              <a:schemeClr val="lt1"/>
            </a:contourClr>
          </a:sp3d>
        </c:spPr>
      </c:pivotFmt>
      <c:pivotFmt>
        <c:idx val="20"/>
        <c:spPr>
          <a:solidFill>
            <a:schemeClr val="accent3"/>
          </a:solidFill>
          <a:ln w="25400">
            <a:solidFill>
              <a:schemeClr val="lt1"/>
            </a:solidFill>
          </a:ln>
          <a:effectLst/>
          <a:sp3d contourW="25400">
            <a:contourClr>
              <a:schemeClr val="lt1"/>
            </a:contourClr>
          </a:sp3d>
        </c:spPr>
      </c:pivotFmt>
      <c:pivotFmt>
        <c:idx val="21"/>
        <c:spPr>
          <a:solidFill>
            <a:schemeClr val="accent4"/>
          </a:solidFill>
          <a:ln w="25400">
            <a:solidFill>
              <a:schemeClr val="lt1"/>
            </a:solidFill>
          </a:ln>
          <a:effectLst/>
          <a:sp3d contourW="25400">
            <a:contourClr>
              <a:schemeClr val="lt1"/>
            </a:contourClr>
          </a:sp3d>
        </c:spPr>
      </c:pivotFmt>
      <c:pivotFmt>
        <c:idx val="22"/>
        <c:spPr>
          <a:solidFill>
            <a:schemeClr val="accent5"/>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2"/>
          </a:solidFill>
          <a:ln w="25400">
            <a:solidFill>
              <a:schemeClr val="lt1"/>
            </a:solidFill>
          </a:ln>
          <a:effectLst/>
          <a:sp3d contourW="25400">
            <a:contourClr>
              <a:schemeClr val="lt1"/>
            </a:contourClr>
          </a:sp3d>
        </c:spPr>
      </c:pivotFmt>
      <c:pivotFmt>
        <c:idx val="26"/>
        <c:spPr>
          <a:solidFill>
            <a:schemeClr val="accent3"/>
          </a:solidFill>
          <a:ln w="25400">
            <a:solidFill>
              <a:schemeClr val="lt1"/>
            </a:solidFill>
          </a:ln>
          <a:effectLst/>
          <a:sp3d contourW="25400">
            <a:contourClr>
              <a:schemeClr val="lt1"/>
            </a:contourClr>
          </a:sp3d>
        </c:spPr>
      </c:pivotFmt>
      <c:pivotFmt>
        <c:idx val="27"/>
        <c:spPr>
          <a:solidFill>
            <a:schemeClr val="accent4"/>
          </a:solidFill>
          <a:ln w="25400">
            <a:solidFill>
              <a:schemeClr val="lt1"/>
            </a:solidFill>
          </a:ln>
          <a:effectLst/>
          <a:sp3d contourW="25400">
            <a:contourClr>
              <a:schemeClr val="lt1"/>
            </a:contourClr>
          </a:sp3d>
        </c:spPr>
      </c:pivotFmt>
      <c:pivotFmt>
        <c:idx val="28"/>
        <c:spPr>
          <a:solidFill>
            <a:schemeClr val="accent5"/>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2"/>
          </a:solidFill>
          <a:ln w="25400">
            <a:solidFill>
              <a:schemeClr val="lt1"/>
            </a:solidFill>
          </a:ln>
          <a:effectLst/>
          <a:sp3d contourW="25400">
            <a:contourClr>
              <a:schemeClr val="lt1"/>
            </a:contourClr>
          </a:sp3d>
        </c:spPr>
      </c:pivotFmt>
      <c:pivotFmt>
        <c:idx val="32"/>
        <c:spPr>
          <a:solidFill>
            <a:schemeClr val="accent3"/>
          </a:solidFill>
          <a:ln w="25400">
            <a:solidFill>
              <a:schemeClr val="lt1"/>
            </a:solidFill>
          </a:ln>
          <a:effectLst/>
          <a:sp3d contourW="25400">
            <a:contourClr>
              <a:schemeClr val="lt1"/>
            </a:contourClr>
          </a:sp3d>
        </c:spPr>
      </c:pivotFmt>
      <c:pivotFmt>
        <c:idx val="33"/>
        <c:spPr>
          <a:solidFill>
            <a:schemeClr val="accent4"/>
          </a:solidFill>
          <a:ln w="25400">
            <a:solidFill>
              <a:schemeClr val="lt1"/>
            </a:solidFill>
          </a:ln>
          <a:effectLst/>
          <a:sp3d contourW="25400">
            <a:contourClr>
              <a:schemeClr val="lt1"/>
            </a:contourClr>
          </a:sp3d>
        </c:spPr>
      </c:pivotFmt>
      <c:pivotFmt>
        <c:idx val="34"/>
        <c:spPr>
          <a:solidFill>
            <a:schemeClr val="accent5"/>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2"/>
          </a:solidFill>
          <a:ln w="25400">
            <a:solidFill>
              <a:schemeClr val="lt1"/>
            </a:solidFill>
          </a:ln>
          <a:effectLst/>
          <a:sp3d contourW="25400">
            <a:contourClr>
              <a:schemeClr val="lt1"/>
            </a:contourClr>
          </a:sp3d>
        </c:spPr>
      </c:pivotFmt>
      <c:pivotFmt>
        <c:idx val="38"/>
        <c:spPr>
          <a:solidFill>
            <a:schemeClr val="accent3"/>
          </a:solidFill>
          <a:ln w="25400">
            <a:solidFill>
              <a:schemeClr val="lt1"/>
            </a:solidFill>
          </a:ln>
          <a:effectLst/>
          <a:sp3d contourW="25400">
            <a:contourClr>
              <a:schemeClr val="lt1"/>
            </a:contourClr>
          </a:sp3d>
        </c:spPr>
      </c:pivotFmt>
      <c:pivotFmt>
        <c:idx val="39"/>
        <c:spPr>
          <a:solidFill>
            <a:schemeClr val="accent4"/>
          </a:solidFill>
          <a:ln w="25400">
            <a:solidFill>
              <a:schemeClr val="lt1"/>
            </a:solidFill>
          </a:ln>
          <a:effectLst/>
          <a:sp3d contourW="25400">
            <a:contourClr>
              <a:schemeClr val="lt1"/>
            </a:contourClr>
          </a:sp3d>
        </c:spPr>
      </c:pivotFmt>
      <c:pivotFmt>
        <c:idx val="40"/>
        <c:spPr>
          <a:solidFill>
            <a:schemeClr val="accent5"/>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2"/>
          </a:solidFill>
          <a:ln w="25400">
            <a:solidFill>
              <a:schemeClr val="lt1"/>
            </a:solidFill>
          </a:ln>
          <a:effectLst/>
          <a:sp3d contourW="25400">
            <a:contourClr>
              <a:schemeClr val="lt1"/>
            </a:contourClr>
          </a:sp3d>
        </c:spPr>
      </c:pivotFmt>
      <c:pivotFmt>
        <c:idx val="44"/>
        <c:spPr>
          <a:solidFill>
            <a:schemeClr val="accent3"/>
          </a:solidFill>
          <a:ln w="25400">
            <a:solidFill>
              <a:schemeClr val="lt1"/>
            </a:solidFill>
          </a:ln>
          <a:effectLst/>
          <a:sp3d contourW="25400">
            <a:contourClr>
              <a:schemeClr val="lt1"/>
            </a:contourClr>
          </a:sp3d>
        </c:spPr>
      </c:pivotFmt>
      <c:pivotFmt>
        <c:idx val="45"/>
        <c:spPr>
          <a:solidFill>
            <a:schemeClr val="accent4"/>
          </a:solidFill>
          <a:ln w="25400">
            <a:solidFill>
              <a:schemeClr val="lt1"/>
            </a:solidFill>
          </a:ln>
          <a:effectLst/>
          <a:sp3d contourW="25400">
            <a:contourClr>
              <a:schemeClr val="lt1"/>
            </a:contourClr>
          </a:sp3d>
        </c:spPr>
      </c:pivotFmt>
      <c:pivotFmt>
        <c:idx val="46"/>
        <c:spPr>
          <a:solidFill>
            <a:schemeClr val="accent5"/>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2"/>
          </a:solidFill>
          <a:ln w="25400">
            <a:solidFill>
              <a:schemeClr val="lt1"/>
            </a:solidFill>
          </a:ln>
          <a:effectLst/>
          <a:sp3d contourW="25400">
            <a:contourClr>
              <a:schemeClr val="lt1"/>
            </a:contourClr>
          </a:sp3d>
        </c:spPr>
      </c:pivotFmt>
      <c:pivotFmt>
        <c:idx val="50"/>
        <c:spPr>
          <a:solidFill>
            <a:schemeClr val="accent3"/>
          </a:solidFill>
          <a:ln w="25400">
            <a:solidFill>
              <a:schemeClr val="lt1"/>
            </a:solidFill>
          </a:ln>
          <a:effectLst/>
          <a:sp3d contourW="25400">
            <a:contourClr>
              <a:schemeClr val="lt1"/>
            </a:contourClr>
          </a:sp3d>
        </c:spPr>
      </c:pivotFmt>
      <c:pivotFmt>
        <c:idx val="51"/>
        <c:spPr>
          <a:solidFill>
            <a:schemeClr val="accent4"/>
          </a:solidFill>
          <a:ln w="25400">
            <a:solidFill>
              <a:schemeClr val="lt1"/>
            </a:solidFill>
          </a:ln>
          <a:effectLst/>
          <a:sp3d contourW="25400">
            <a:contourClr>
              <a:schemeClr val="lt1"/>
            </a:contourClr>
          </a:sp3d>
        </c:spPr>
      </c:pivotFmt>
      <c:pivotFmt>
        <c:idx val="52"/>
        <c:spPr>
          <a:solidFill>
            <a:schemeClr val="accent5"/>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2"/>
          </a:solidFill>
          <a:ln w="25400">
            <a:solidFill>
              <a:schemeClr val="lt1"/>
            </a:solidFill>
          </a:ln>
          <a:effectLst/>
          <a:sp3d contourW="25400">
            <a:contourClr>
              <a:schemeClr val="lt1"/>
            </a:contourClr>
          </a:sp3d>
        </c:spPr>
      </c:pivotFmt>
      <c:pivotFmt>
        <c:idx val="56"/>
        <c:spPr>
          <a:solidFill>
            <a:schemeClr val="accent3"/>
          </a:solidFill>
          <a:ln w="25400">
            <a:solidFill>
              <a:schemeClr val="lt1"/>
            </a:solidFill>
          </a:ln>
          <a:effectLst/>
          <a:sp3d contourW="25400">
            <a:contourClr>
              <a:schemeClr val="lt1"/>
            </a:contourClr>
          </a:sp3d>
        </c:spPr>
      </c:pivotFmt>
      <c:pivotFmt>
        <c:idx val="57"/>
        <c:spPr>
          <a:solidFill>
            <a:schemeClr val="accent4"/>
          </a:solidFill>
          <a:ln w="25400">
            <a:solidFill>
              <a:schemeClr val="lt1"/>
            </a:solidFill>
          </a:ln>
          <a:effectLst/>
          <a:sp3d contourW="25400">
            <a:contourClr>
              <a:schemeClr val="lt1"/>
            </a:contourClr>
          </a:sp3d>
        </c:spPr>
      </c:pivotFmt>
      <c:pivotFmt>
        <c:idx val="58"/>
        <c:spPr>
          <a:solidFill>
            <a:schemeClr val="accent5"/>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2"/>
          </a:solidFill>
          <a:ln w="25400">
            <a:solidFill>
              <a:schemeClr val="lt1"/>
            </a:solidFill>
          </a:ln>
          <a:effectLst/>
          <a:sp3d contourW="25400">
            <a:contourClr>
              <a:schemeClr val="lt1"/>
            </a:contourClr>
          </a:sp3d>
        </c:spPr>
      </c:pivotFmt>
      <c:pivotFmt>
        <c:idx val="62"/>
        <c:spPr>
          <a:solidFill>
            <a:schemeClr val="accent3"/>
          </a:solidFill>
          <a:ln w="25400">
            <a:solidFill>
              <a:schemeClr val="lt1"/>
            </a:solidFill>
          </a:ln>
          <a:effectLst/>
          <a:sp3d contourW="25400">
            <a:contourClr>
              <a:schemeClr val="lt1"/>
            </a:contourClr>
          </a:sp3d>
        </c:spPr>
      </c:pivotFmt>
      <c:pivotFmt>
        <c:idx val="63"/>
        <c:spPr>
          <a:solidFill>
            <a:schemeClr val="accent4"/>
          </a:solidFill>
          <a:ln w="25400">
            <a:solidFill>
              <a:schemeClr val="lt1"/>
            </a:solidFill>
          </a:ln>
          <a:effectLst/>
          <a:sp3d contourW="25400">
            <a:contourClr>
              <a:schemeClr val="lt1"/>
            </a:contourClr>
          </a:sp3d>
        </c:spPr>
      </c:pivotFmt>
      <c:pivotFmt>
        <c:idx val="64"/>
        <c:spPr>
          <a:solidFill>
            <a:schemeClr val="accent5"/>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table'!$B$3:$B$4</c:f>
              <c:strCache>
                <c:ptCount val="1"/>
                <c:pt idx="0">
                  <c:v>Clothing</c:v>
                </c:pt>
              </c:strCache>
            </c:strRef>
          </c:tx>
          <c:explosion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8D8-443A-907C-98D851E3C48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8D8-443A-907C-98D851E3C48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8D8-443A-907C-98D851E3C48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8D8-443A-907C-98D851E3C48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8D8-443A-907C-98D851E3C486}"/>
              </c:ext>
            </c:extLst>
          </c:dPt>
          <c:cat>
            <c:strRef>
              <c:f>'pivot table'!$A$5:$A$10</c:f>
              <c:strCache>
                <c:ptCount val="5"/>
                <c:pt idx="0">
                  <c:v>Central</c:v>
                </c:pt>
                <c:pt idx="1">
                  <c:v>East</c:v>
                </c:pt>
                <c:pt idx="2">
                  <c:v>North</c:v>
                </c:pt>
                <c:pt idx="3">
                  <c:v>South</c:v>
                </c:pt>
                <c:pt idx="4">
                  <c:v>West</c:v>
                </c:pt>
              </c:strCache>
            </c:strRef>
          </c:cat>
          <c:val>
            <c:numRef>
              <c:f>'pivot table'!$B$5:$B$10</c:f>
              <c:numCache>
                <c:formatCode>General</c:formatCode>
                <c:ptCount val="5"/>
                <c:pt idx="0">
                  <c:v>12200.26</c:v>
                </c:pt>
                <c:pt idx="1">
                  <c:v>2401.4499999999998</c:v>
                </c:pt>
                <c:pt idx="2">
                  <c:v>8422.82</c:v>
                </c:pt>
                <c:pt idx="3">
                  <c:v>8393.630000000001</c:v>
                </c:pt>
                <c:pt idx="4">
                  <c:v>10509.43</c:v>
                </c:pt>
              </c:numCache>
            </c:numRef>
          </c:val>
          <c:extLst>
            <c:ext xmlns:c16="http://schemas.microsoft.com/office/drawing/2014/chart" uri="{C3380CC4-5D6E-409C-BE32-E72D297353CC}">
              <c16:uniqueId val="{0000000A-08D8-443A-907C-98D851E3C48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dataset!$H$1</c:f>
              <c:strCache>
                <c:ptCount val="1"/>
                <c:pt idx="0">
                  <c:v>Order_Date</c:v>
                </c:pt>
              </c:strCache>
            </c:strRef>
          </c:tx>
          <c:spPr>
            <a:ln w="28575" cap="rnd">
              <a:solidFill>
                <a:schemeClr val="accent1"/>
              </a:solidFill>
              <a:round/>
            </a:ln>
            <a:effectLst/>
          </c:spPr>
          <c:marker>
            <c:symbol val="none"/>
          </c:marker>
          <c:val>
            <c:numRef>
              <c:f>dataset!$H$2:$H$201</c:f>
              <c:numCache>
                <c:formatCode>m/d/yyyy</c:formatCode>
                <c:ptCount val="200"/>
                <c:pt idx="0">
                  <c:v>45392</c:v>
                </c:pt>
                <c:pt idx="1">
                  <c:v>45393</c:v>
                </c:pt>
                <c:pt idx="2">
                  <c:v>45396</c:v>
                </c:pt>
                <c:pt idx="3">
                  <c:v>45396</c:v>
                </c:pt>
                <c:pt idx="4">
                  <c:v>45397</c:v>
                </c:pt>
                <c:pt idx="5">
                  <c:v>45398</c:v>
                </c:pt>
                <c:pt idx="6">
                  <c:v>45398</c:v>
                </c:pt>
                <c:pt idx="7">
                  <c:v>45401</c:v>
                </c:pt>
                <c:pt idx="8">
                  <c:v>45401</c:v>
                </c:pt>
                <c:pt idx="9">
                  <c:v>45401</c:v>
                </c:pt>
                <c:pt idx="10">
                  <c:v>45402</c:v>
                </c:pt>
                <c:pt idx="11">
                  <c:v>45404</c:v>
                </c:pt>
                <c:pt idx="12">
                  <c:v>45406</c:v>
                </c:pt>
                <c:pt idx="13">
                  <c:v>45406</c:v>
                </c:pt>
                <c:pt idx="14">
                  <c:v>45409</c:v>
                </c:pt>
                <c:pt idx="15">
                  <c:v>45410</c:v>
                </c:pt>
                <c:pt idx="16">
                  <c:v>45411</c:v>
                </c:pt>
                <c:pt idx="17">
                  <c:v>45411</c:v>
                </c:pt>
                <c:pt idx="18">
                  <c:v>45412</c:v>
                </c:pt>
                <c:pt idx="19">
                  <c:v>45414</c:v>
                </c:pt>
                <c:pt idx="20">
                  <c:v>45415</c:v>
                </c:pt>
                <c:pt idx="21">
                  <c:v>45416</c:v>
                </c:pt>
                <c:pt idx="22">
                  <c:v>45416</c:v>
                </c:pt>
                <c:pt idx="23">
                  <c:v>45416</c:v>
                </c:pt>
                <c:pt idx="24">
                  <c:v>45418</c:v>
                </c:pt>
                <c:pt idx="25">
                  <c:v>45418</c:v>
                </c:pt>
                <c:pt idx="26">
                  <c:v>45420</c:v>
                </c:pt>
                <c:pt idx="27">
                  <c:v>45422</c:v>
                </c:pt>
                <c:pt idx="28">
                  <c:v>45426</c:v>
                </c:pt>
                <c:pt idx="29">
                  <c:v>45426</c:v>
                </c:pt>
                <c:pt idx="30">
                  <c:v>45427</c:v>
                </c:pt>
                <c:pt idx="31">
                  <c:v>45428</c:v>
                </c:pt>
                <c:pt idx="32">
                  <c:v>45428</c:v>
                </c:pt>
                <c:pt idx="33">
                  <c:v>45429</c:v>
                </c:pt>
                <c:pt idx="34">
                  <c:v>45429</c:v>
                </c:pt>
                <c:pt idx="35">
                  <c:v>45429</c:v>
                </c:pt>
                <c:pt idx="36">
                  <c:v>45429</c:v>
                </c:pt>
                <c:pt idx="37">
                  <c:v>45434</c:v>
                </c:pt>
                <c:pt idx="38">
                  <c:v>45434</c:v>
                </c:pt>
                <c:pt idx="39">
                  <c:v>45435</c:v>
                </c:pt>
                <c:pt idx="40">
                  <c:v>45445</c:v>
                </c:pt>
                <c:pt idx="41">
                  <c:v>45447</c:v>
                </c:pt>
                <c:pt idx="42">
                  <c:v>45447</c:v>
                </c:pt>
                <c:pt idx="43">
                  <c:v>45448</c:v>
                </c:pt>
                <c:pt idx="44">
                  <c:v>45448</c:v>
                </c:pt>
                <c:pt idx="45">
                  <c:v>45449</c:v>
                </c:pt>
                <c:pt idx="46">
                  <c:v>45449</c:v>
                </c:pt>
                <c:pt idx="47">
                  <c:v>45450</c:v>
                </c:pt>
                <c:pt idx="48">
                  <c:v>45451</c:v>
                </c:pt>
                <c:pt idx="49">
                  <c:v>45457</c:v>
                </c:pt>
                <c:pt idx="50">
                  <c:v>45461</c:v>
                </c:pt>
                <c:pt idx="51">
                  <c:v>45463</c:v>
                </c:pt>
                <c:pt idx="52">
                  <c:v>45464</c:v>
                </c:pt>
                <c:pt idx="53">
                  <c:v>45466</c:v>
                </c:pt>
                <c:pt idx="54">
                  <c:v>45468</c:v>
                </c:pt>
                <c:pt idx="55">
                  <c:v>45468</c:v>
                </c:pt>
                <c:pt idx="56">
                  <c:v>45470</c:v>
                </c:pt>
                <c:pt idx="57">
                  <c:v>45471</c:v>
                </c:pt>
                <c:pt idx="58">
                  <c:v>45473</c:v>
                </c:pt>
                <c:pt idx="59">
                  <c:v>45473</c:v>
                </c:pt>
                <c:pt idx="60">
                  <c:v>45478</c:v>
                </c:pt>
                <c:pt idx="61">
                  <c:v>45479</c:v>
                </c:pt>
                <c:pt idx="62">
                  <c:v>45481</c:v>
                </c:pt>
                <c:pt idx="63">
                  <c:v>45481</c:v>
                </c:pt>
                <c:pt idx="64">
                  <c:v>45482</c:v>
                </c:pt>
                <c:pt idx="65">
                  <c:v>45487</c:v>
                </c:pt>
                <c:pt idx="66">
                  <c:v>45488</c:v>
                </c:pt>
                <c:pt idx="67">
                  <c:v>45488</c:v>
                </c:pt>
                <c:pt idx="68">
                  <c:v>45494</c:v>
                </c:pt>
                <c:pt idx="69">
                  <c:v>45502</c:v>
                </c:pt>
                <c:pt idx="70">
                  <c:v>45503</c:v>
                </c:pt>
                <c:pt idx="71">
                  <c:v>45504</c:v>
                </c:pt>
                <c:pt idx="72">
                  <c:v>45509</c:v>
                </c:pt>
                <c:pt idx="73">
                  <c:v>45509</c:v>
                </c:pt>
                <c:pt idx="74">
                  <c:v>45512</c:v>
                </c:pt>
                <c:pt idx="75">
                  <c:v>45513</c:v>
                </c:pt>
                <c:pt idx="76">
                  <c:v>45519</c:v>
                </c:pt>
                <c:pt idx="77">
                  <c:v>45522</c:v>
                </c:pt>
                <c:pt idx="78">
                  <c:v>45523</c:v>
                </c:pt>
                <c:pt idx="79">
                  <c:v>45526</c:v>
                </c:pt>
                <c:pt idx="80">
                  <c:v>45534</c:v>
                </c:pt>
                <c:pt idx="81">
                  <c:v>45534</c:v>
                </c:pt>
                <c:pt idx="82">
                  <c:v>45536</c:v>
                </c:pt>
                <c:pt idx="83">
                  <c:v>45536</c:v>
                </c:pt>
                <c:pt idx="84">
                  <c:v>45544</c:v>
                </c:pt>
                <c:pt idx="85">
                  <c:v>45544</c:v>
                </c:pt>
                <c:pt idx="86">
                  <c:v>45546</c:v>
                </c:pt>
                <c:pt idx="87">
                  <c:v>45547</c:v>
                </c:pt>
                <c:pt idx="88">
                  <c:v>45549</c:v>
                </c:pt>
                <c:pt idx="89">
                  <c:v>45549</c:v>
                </c:pt>
                <c:pt idx="90">
                  <c:v>45551</c:v>
                </c:pt>
                <c:pt idx="91">
                  <c:v>45552</c:v>
                </c:pt>
                <c:pt idx="92">
                  <c:v>45552</c:v>
                </c:pt>
                <c:pt idx="93">
                  <c:v>45553</c:v>
                </c:pt>
                <c:pt idx="94">
                  <c:v>45557</c:v>
                </c:pt>
                <c:pt idx="95">
                  <c:v>45558</c:v>
                </c:pt>
                <c:pt idx="96">
                  <c:v>45559</c:v>
                </c:pt>
                <c:pt idx="97">
                  <c:v>45559</c:v>
                </c:pt>
                <c:pt idx="98">
                  <c:v>45564</c:v>
                </c:pt>
                <c:pt idx="99">
                  <c:v>45564</c:v>
                </c:pt>
                <c:pt idx="100">
                  <c:v>45565</c:v>
                </c:pt>
                <c:pt idx="101">
                  <c:v>45565</c:v>
                </c:pt>
                <c:pt idx="102">
                  <c:v>45567</c:v>
                </c:pt>
                <c:pt idx="103">
                  <c:v>45570</c:v>
                </c:pt>
                <c:pt idx="104">
                  <c:v>45575</c:v>
                </c:pt>
                <c:pt idx="105">
                  <c:v>45577</c:v>
                </c:pt>
                <c:pt idx="106">
                  <c:v>45577</c:v>
                </c:pt>
                <c:pt idx="107">
                  <c:v>45580</c:v>
                </c:pt>
                <c:pt idx="108">
                  <c:v>45581</c:v>
                </c:pt>
                <c:pt idx="109">
                  <c:v>45581</c:v>
                </c:pt>
                <c:pt idx="110">
                  <c:v>45582</c:v>
                </c:pt>
                <c:pt idx="111">
                  <c:v>45584</c:v>
                </c:pt>
                <c:pt idx="112">
                  <c:v>45584</c:v>
                </c:pt>
                <c:pt idx="113">
                  <c:v>45585</c:v>
                </c:pt>
                <c:pt idx="114">
                  <c:v>45593</c:v>
                </c:pt>
                <c:pt idx="115">
                  <c:v>45595</c:v>
                </c:pt>
                <c:pt idx="116">
                  <c:v>45597</c:v>
                </c:pt>
                <c:pt idx="117">
                  <c:v>45599</c:v>
                </c:pt>
                <c:pt idx="118">
                  <c:v>45605</c:v>
                </c:pt>
                <c:pt idx="119">
                  <c:v>45605</c:v>
                </c:pt>
                <c:pt idx="120">
                  <c:v>45608</c:v>
                </c:pt>
                <c:pt idx="121">
                  <c:v>45611</c:v>
                </c:pt>
                <c:pt idx="122">
                  <c:v>45612</c:v>
                </c:pt>
                <c:pt idx="123">
                  <c:v>45613</c:v>
                </c:pt>
                <c:pt idx="124">
                  <c:v>45613</c:v>
                </c:pt>
                <c:pt idx="125">
                  <c:v>45613</c:v>
                </c:pt>
                <c:pt idx="126">
                  <c:v>45615</c:v>
                </c:pt>
                <c:pt idx="127">
                  <c:v>45615</c:v>
                </c:pt>
                <c:pt idx="128">
                  <c:v>45615</c:v>
                </c:pt>
                <c:pt idx="129">
                  <c:v>45616</c:v>
                </c:pt>
                <c:pt idx="130">
                  <c:v>45616</c:v>
                </c:pt>
                <c:pt idx="131">
                  <c:v>45622</c:v>
                </c:pt>
                <c:pt idx="132">
                  <c:v>45622</c:v>
                </c:pt>
                <c:pt idx="133">
                  <c:v>45624</c:v>
                </c:pt>
                <c:pt idx="134">
                  <c:v>45625</c:v>
                </c:pt>
                <c:pt idx="135">
                  <c:v>45626</c:v>
                </c:pt>
                <c:pt idx="136">
                  <c:v>45630</c:v>
                </c:pt>
                <c:pt idx="137">
                  <c:v>45631</c:v>
                </c:pt>
                <c:pt idx="138">
                  <c:v>45638</c:v>
                </c:pt>
                <c:pt idx="139">
                  <c:v>45640</c:v>
                </c:pt>
                <c:pt idx="140">
                  <c:v>45640</c:v>
                </c:pt>
                <c:pt idx="141">
                  <c:v>45646</c:v>
                </c:pt>
                <c:pt idx="142">
                  <c:v>45647</c:v>
                </c:pt>
                <c:pt idx="143">
                  <c:v>45650</c:v>
                </c:pt>
                <c:pt idx="144">
                  <c:v>45651</c:v>
                </c:pt>
                <c:pt idx="145">
                  <c:v>45651</c:v>
                </c:pt>
                <c:pt idx="146">
                  <c:v>45656</c:v>
                </c:pt>
                <c:pt idx="147">
                  <c:v>45658</c:v>
                </c:pt>
                <c:pt idx="148">
                  <c:v>45658</c:v>
                </c:pt>
                <c:pt idx="149">
                  <c:v>45659</c:v>
                </c:pt>
                <c:pt idx="150">
                  <c:v>45660</c:v>
                </c:pt>
                <c:pt idx="151">
                  <c:v>45660</c:v>
                </c:pt>
                <c:pt idx="152">
                  <c:v>45663</c:v>
                </c:pt>
                <c:pt idx="153">
                  <c:v>45667</c:v>
                </c:pt>
                <c:pt idx="154">
                  <c:v>45669</c:v>
                </c:pt>
                <c:pt idx="155">
                  <c:v>45670</c:v>
                </c:pt>
                <c:pt idx="156">
                  <c:v>45673</c:v>
                </c:pt>
                <c:pt idx="157">
                  <c:v>45674</c:v>
                </c:pt>
                <c:pt idx="158">
                  <c:v>45674</c:v>
                </c:pt>
                <c:pt idx="159">
                  <c:v>45674</c:v>
                </c:pt>
                <c:pt idx="160">
                  <c:v>45677</c:v>
                </c:pt>
                <c:pt idx="161">
                  <c:v>45678</c:v>
                </c:pt>
                <c:pt idx="162">
                  <c:v>45684</c:v>
                </c:pt>
                <c:pt idx="163">
                  <c:v>45690</c:v>
                </c:pt>
                <c:pt idx="164">
                  <c:v>45692</c:v>
                </c:pt>
                <c:pt idx="165">
                  <c:v>45693</c:v>
                </c:pt>
                <c:pt idx="166">
                  <c:v>45695</c:v>
                </c:pt>
                <c:pt idx="167">
                  <c:v>45698</c:v>
                </c:pt>
                <c:pt idx="168">
                  <c:v>45703</c:v>
                </c:pt>
                <c:pt idx="169">
                  <c:v>45705</c:v>
                </c:pt>
                <c:pt idx="170">
                  <c:v>45707</c:v>
                </c:pt>
                <c:pt idx="171">
                  <c:v>45708</c:v>
                </c:pt>
                <c:pt idx="172">
                  <c:v>45709</c:v>
                </c:pt>
                <c:pt idx="173">
                  <c:v>45712</c:v>
                </c:pt>
                <c:pt idx="174">
                  <c:v>45712</c:v>
                </c:pt>
                <c:pt idx="175">
                  <c:v>45713</c:v>
                </c:pt>
                <c:pt idx="176">
                  <c:v>45715</c:v>
                </c:pt>
                <c:pt idx="177">
                  <c:v>45717</c:v>
                </c:pt>
                <c:pt idx="178">
                  <c:v>45718</c:v>
                </c:pt>
                <c:pt idx="179">
                  <c:v>45721</c:v>
                </c:pt>
                <c:pt idx="180">
                  <c:v>45724</c:v>
                </c:pt>
                <c:pt idx="181">
                  <c:v>45725</c:v>
                </c:pt>
                <c:pt idx="182">
                  <c:v>45726</c:v>
                </c:pt>
                <c:pt idx="183">
                  <c:v>45727</c:v>
                </c:pt>
                <c:pt idx="184">
                  <c:v>45733</c:v>
                </c:pt>
                <c:pt idx="185">
                  <c:v>45734</c:v>
                </c:pt>
                <c:pt idx="186">
                  <c:v>45736</c:v>
                </c:pt>
                <c:pt idx="187">
                  <c:v>45738</c:v>
                </c:pt>
                <c:pt idx="188">
                  <c:v>45741</c:v>
                </c:pt>
                <c:pt idx="189">
                  <c:v>45742</c:v>
                </c:pt>
                <c:pt idx="190">
                  <c:v>45743</c:v>
                </c:pt>
                <c:pt idx="191">
                  <c:v>45743</c:v>
                </c:pt>
                <c:pt idx="192">
                  <c:v>45745</c:v>
                </c:pt>
                <c:pt idx="193">
                  <c:v>45745</c:v>
                </c:pt>
                <c:pt idx="194">
                  <c:v>45746</c:v>
                </c:pt>
                <c:pt idx="195">
                  <c:v>45746</c:v>
                </c:pt>
                <c:pt idx="196">
                  <c:v>45749</c:v>
                </c:pt>
                <c:pt idx="197">
                  <c:v>45752</c:v>
                </c:pt>
                <c:pt idx="198">
                  <c:v>45752</c:v>
                </c:pt>
                <c:pt idx="199">
                  <c:v>45754</c:v>
                </c:pt>
              </c:numCache>
            </c:numRef>
          </c:val>
          <c:smooth val="0"/>
          <c:extLst>
            <c:ext xmlns:c16="http://schemas.microsoft.com/office/drawing/2014/chart" uri="{C3380CC4-5D6E-409C-BE32-E72D297353CC}">
              <c16:uniqueId val="{00000000-3FAD-4809-A11A-BB412CF49EA4}"/>
            </c:ext>
          </c:extLst>
        </c:ser>
        <c:dLbls>
          <c:showLegendKey val="0"/>
          <c:showVal val="0"/>
          <c:showCatName val="0"/>
          <c:showSerName val="0"/>
          <c:showPercent val="0"/>
          <c:showBubbleSize val="0"/>
        </c:dLbls>
        <c:smooth val="0"/>
        <c:axId val="562510736"/>
        <c:axId val="562511392"/>
      </c:lineChart>
      <c:catAx>
        <c:axId val="5625107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11392"/>
        <c:crosses val="autoZero"/>
        <c:auto val="1"/>
        <c:lblAlgn val="ctr"/>
        <c:lblOffset val="100"/>
        <c:noMultiLvlLbl val="0"/>
      </c:catAx>
      <c:valAx>
        <c:axId val="562511392"/>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51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838200</xdr:colOff>
      <xdr:row>7</xdr:row>
      <xdr:rowOff>23812</xdr:rowOff>
    </xdr:from>
    <xdr:to>
      <xdr:col>17</xdr:col>
      <xdr:colOff>285750</xdr:colOff>
      <xdr:row>17</xdr:row>
      <xdr:rowOff>385762</xdr:rowOff>
    </xdr:to>
    <xdr:graphicFrame macro="">
      <xdr:nvGraphicFramePr>
        <xdr:cNvPr id="2" name="Chart 1">
          <a:extLst>
            <a:ext uri="{FF2B5EF4-FFF2-40B4-BE49-F238E27FC236}">
              <a16:creationId xmlns:a16="http://schemas.microsoft.com/office/drawing/2014/main" id="{EE0D3483-0DC6-2E37-BCF0-A29684FE6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123825</xdr:colOff>
      <xdr:row>1</xdr:row>
      <xdr:rowOff>90487</xdr:rowOff>
    </xdr:from>
    <xdr:to>
      <xdr:col>14</xdr:col>
      <xdr:colOff>428625</xdr:colOff>
      <xdr:row>15</xdr:row>
      <xdr:rowOff>166687</xdr:rowOff>
    </xdr:to>
    <xdr:graphicFrame macro="">
      <xdr:nvGraphicFramePr>
        <xdr:cNvPr id="3" name="Chart 2">
          <a:extLst>
            <a:ext uri="{FF2B5EF4-FFF2-40B4-BE49-F238E27FC236}">
              <a16:creationId xmlns:a16="http://schemas.microsoft.com/office/drawing/2014/main" id="{399D5D2B-0D3A-3A7F-D79D-36C58955AD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352425</xdr:colOff>
      <xdr:row>10</xdr:row>
      <xdr:rowOff>123825</xdr:rowOff>
    </xdr:from>
    <xdr:to>
      <xdr:col>6</xdr:col>
      <xdr:colOff>66675</xdr:colOff>
      <xdr:row>25</xdr:row>
      <xdr:rowOff>9525</xdr:rowOff>
    </xdr:to>
    <xdr:graphicFrame macro="">
      <xdr:nvGraphicFramePr>
        <xdr:cNvPr id="4" name="Chart 3">
          <a:extLst>
            <a:ext uri="{FF2B5EF4-FFF2-40B4-BE49-F238E27FC236}">
              <a16:creationId xmlns:a16="http://schemas.microsoft.com/office/drawing/2014/main" id="{1122A1D7-9FE5-4375-8574-B3EC7AA84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76200</xdr:colOff>
      <xdr:row>0</xdr:row>
      <xdr:rowOff>95250</xdr:rowOff>
    </xdr:from>
    <xdr:to>
      <xdr:col>6</xdr:col>
      <xdr:colOff>314325</xdr:colOff>
      <xdr:row>10</xdr:row>
      <xdr:rowOff>66675</xdr:rowOff>
    </xdr:to>
    <mc:AlternateContent xmlns:mc="http://schemas.openxmlformats.org/markup-compatibility/2006">
      <mc:Choice xmlns:a14="http://schemas.microsoft.com/office/drawing/2010/main" Requires="a14">
        <xdr:graphicFrame macro="">
          <xdr:nvGraphicFramePr>
            <xdr:cNvPr id="6" name="Product_Category">
              <a:extLst>
                <a:ext uri="{FF2B5EF4-FFF2-40B4-BE49-F238E27FC236}">
                  <a16:creationId xmlns:a16="http://schemas.microsoft.com/office/drawing/2014/main" id="{1A5002D0-237D-C613-C804-981E6CEA6AB7}"/>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3495675" y="95250"/>
              <a:ext cx="1828800" cy="1876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76200</xdr:rowOff>
    </xdr:from>
    <xdr:to>
      <xdr:col>3</xdr:col>
      <xdr:colOff>504825</xdr:colOff>
      <xdr:row>17</xdr:row>
      <xdr:rowOff>76200</xdr:rowOff>
    </xdr:to>
    <xdr:graphicFrame macro="">
      <xdr:nvGraphicFramePr>
        <xdr:cNvPr id="2" name="Chart 1">
          <a:extLst>
            <a:ext uri="{FF2B5EF4-FFF2-40B4-BE49-F238E27FC236}">
              <a16:creationId xmlns:a16="http://schemas.microsoft.com/office/drawing/2014/main" id="{ACAE82E4-BF88-42B4-8867-BA846168C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314325</xdr:colOff>
      <xdr:row>18</xdr:row>
      <xdr:rowOff>47624</xdr:rowOff>
    </xdr:from>
    <xdr:to>
      <xdr:col>3</xdr:col>
      <xdr:colOff>361950</xdr:colOff>
      <xdr:row>32</xdr:row>
      <xdr:rowOff>19049</xdr:rowOff>
    </xdr:to>
    <xdr:graphicFrame macro="">
      <xdr:nvGraphicFramePr>
        <xdr:cNvPr id="3" name="Chart 2">
          <a:extLst>
            <a:ext uri="{FF2B5EF4-FFF2-40B4-BE49-F238E27FC236}">
              <a16:creationId xmlns:a16="http://schemas.microsoft.com/office/drawing/2014/main" id="{58383E6E-F250-458B-B96F-67811D4DC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171450</xdr:colOff>
      <xdr:row>5</xdr:row>
      <xdr:rowOff>95250</xdr:rowOff>
    </xdr:from>
    <xdr:to>
      <xdr:col>11</xdr:col>
      <xdr:colOff>28575</xdr:colOff>
      <xdr:row>19</xdr:row>
      <xdr:rowOff>57150</xdr:rowOff>
    </xdr:to>
    <xdr:graphicFrame macro="">
      <xdr:nvGraphicFramePr>
        <xdr:cNvPr id="4" name="Chart 3">
          <a:extLst>
            <a:ext uri="{FF2B5EF4-FFF2-40B4-BE49-F238E27FC236}">
              <a16:creationId xmlns:a16="http://schemas.microsoft.com/office/drawing/2014/main" id="{E9770D05-5CE4-4557-B20C-7C65087FF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447675</xdr:colOff>
      <xdr:row>1</xdr:row>
      <xdr:rowOff>47625</xdr:rowOff>
    </xdr:from>
    <xdr:to>
      <xdr:col>14</xdr:col>
      <xdr:colOff>447675</xdr:colOff>
      <xdr:row>13</xdr:row>
      <xdr:rowOff>171450</xdr:rowOff>
    </xdr:to>
    <mc:AlternateContent xmlns:mc="http://schemas.openxmlformats.org/markup-compatibility/2006">
      <mc:Choice xmlns:a14="http://schemas.microsoft.com/office/drawing/2010/main" Requires="a14">
        <xdr:graphicFrame macro="">
          <xdr:nvGraphicFramePr>
            <xdr:cNvPr id="5" name="Product_Category 1">
              <a:extLst>
                <a:ext uri="{FF2B5EF4-FFF2-40B4-BE49-F238E27FC236}">
                  <a16:creationId xmlns:a16="http://schemas.microsoft.com/office/drawing/2014/main" id="{E7024835-F0A9-4AAE-94ED-086EFADE34B7}"/>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8429625" y="238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xdr:row>
      <xdr:rowOff>0</xdr:rowOff>
    </xdr:from>
    <xdr:to>
      <xdr:col>18</xdr:col>
      <xdr:colOff>0</xdr:colOff>
      <xdr:row>13</xdr:row>
      <xdr:rowOff>123825</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2D28EC66-DF4E-4B7B-8736-C8981E0ABF0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420350" y="190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UZITSU" refreshedDate="46309.74974201389" createdVersion="7" refreshedVersion="7" minRefreshableVersion="3" recordCount="200" xr:uid="{35948424-1692-4558-9F49-722D12EC29CF}">
  <cacheSource type="worksheet">
    <worksheetSource ref="H1:H201" sheet="dataset"/>
  </cacheSource>
  <cacheFields count="3">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2" base="0">
        <rangePr groupBy="months" startDate="2024-04-10T00:00:00" endDate="2025-04-08T00:00:00"/>
        <groupItems count="14">
          <s v="&lt;10-04-2024"/>
          <s v="Jan"/>
          <s v="Feb"/>
          <s v="Mar"/>
          <s v="Apr"/>
          <s v="May"/>
          <s v="Jun"/>
          <s v="Jul"/>
          <s v="Aug"/>
          <s v="Sep"/>
          <s v="Oct"/>
          <s v="Nov"/>
          <s v="Dec"/>
          <s v="&gt;08-04-2025"/>
        </groupItems>
      </fieldGroup>
    </cacheField>
    <cacheField name="Quarters" numFmtId="0" databaseField="0">
      <fieldGroup base="0">
        <rangePr groupBy="quarters" startDate="2024-04-10T00:00:00" endDate="2025-04-08T00:00:00"/>
        <groupItems count="6">
          <s v="&lt;10-04-2024"/>
          <s v="Qtr1"/>
          <s v="Qtr2"/>
          <s v="Qtr3"/>
          <s v="Qtr4"/>
          <s v="&gt;08-04-2025"/>
        </groupItems>
      </fieldGroup>
    </cacheField>
    <cacheField name="Years" numFmtId="0" databaseField="0">
      <fieldGroup base="0">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UZITSU" refreshedDate="46309.846471643519" createdVersion="7" refreshedVersion="7" minRefreshableVersion="3" recordCount="200" xr:uid="{3863838C-18CC-4C06-86EB-B6DDBA687A30}">
  <cacheSource type="worksheet">
    <worksheetSource ref="A1:O201" sheet="dataset"/>
  </cacheSource>
  <cacheFields count="13">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Current_Time" numFmtId="22">
      <sharedItems containsSemiMixedTypes="0" containsNonDate="0" containsDate="1" containsString="0" minDate="2026-10-14T20:03:32" maxDate="2026-10-14T20:03:32"/>
    </cacheField>
    <cacheField name="rank " numFmtId="0">
      <sharedItems containsString="0" containsBlank="1" containsNumber="1" containsInteger="1" minValue="1" maxValue="5"/>
    </cacheField>
    <cacheField name="customer name " numFmtId="0">
      <sharedItems containsBlank="1"/>
    </cacheField>
    <cacheField name="totalsale " numFmtId="0">
      <sharedItems containsString="0" containsBlank="1" containsNumber="1" minValue="1502.93" maxValue="1923.66"/>
    </cacheField>
  </cacheFields>
  <extLst>
    <ext xmlns:x14="http://schemas.microsoft.com/office/spreadsheetml/2009/9/main" uri="{725AE2AE-9491-48be-B2B4-4EB974FC3084}">
      <x14:pivotCacheDefinition pivotCacheId="4636889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r>
  <r>
    <x v="1"/>
  </r>
  <r>
    <x v="2"/>
  </r>
  <r>
    <x v="2"/>
  </r>
  <r>
    <x v="3"/>
  </r>
  <r>
    <x v="4"/>
  </r>
  <r>
    <x v="4"/>
  </r>
  <r>
    <x v="5"/>
  </r>
  <r>
    <x v="5"/>
  </r>
  <r>
    <x v="5"/>
  </r>
  <r>
    <x v="6"/>
  </r>
  <r>
    <x v="7"/>
  </r>
  <r>
    <x v="8"/>
  </r>
  <r>
    <x v="8"/>
  </r>
  <r>
    <x v="9"/>
  </r>
  <r>
    <x v="10"/>
  </r>
  <r>
    <x v="11"/>
  </r>
  <r>
    <x v="11"/>
  </r>
  <r>
    <x v="12"/>
  </r>
  <r>
    <x v="13"/>
  </r>
  <r>
    <x v="14"/>
  </r>
  <r>
    <x v="15"/>
  </r>
  <r>
    <x v="15"/>
  </r>
  <r>
    <x v="15"/>
  </r>
  <r>
    <x v="16"/>
  </r>
  <r>
    <x v="16"/>
  </r>
  <r>
    <x v="17"/>
  </r>
  <r>
    <x v="18"/>
  </r>
  <r>
    <x v="19"/>
  </r>
  <r>
    <x v="19"/>
  </r>
  <r>
    <x v="20"/>
  </r>
  <r>
    <x v="21"/>
  </r>
  <r>
    <x v="21"/>
  </r>
  <r>
    <x v="22"/>
  </r>
  <r>
    <x v="22"/>
  </r>
  <r>
    <x v="22"/>
  </r>
  <r>
    <x v="22"/>
  </r>
  <r>
    <x v="23"/>
  </r>
  <r>
    <x v="23"/>
  </r>
  <r>
    <x v="24"/>
  </r>
  <r>
    <x v="25"/>
  </r>
  <r>
    <x v="26"/>
  </r>
  <r>
    <x v="26"/>
  </r>
  <r>
    <x v="27"/>
  </r>
  <r>
    <x v="27"/>
  </r>
  <r>
    <x v="28"/>
  </r>
  <r>
    <x v="28"/>
  </r>
  <r>
    <x v="29"/>
  </r>
  <r>
    <x v="30"/>
  </r>
  <r>
    <x v="31"/>
  </r>
  <r>
    <x v="32"/>
  </r>
  <r>
    <x v="33"/>
  </r>
  <r>
    <x v="34"/>
  </r>
  <r>
    <x v="35"/>
  </r>
  <r>
    <x v="36"/>
  </r>
  <r>
    <x v="36"/>
  </r>
  <r>
    <x v="37"/>
  </r>
  <r>
    <x v="38"/>
  </r>
  <r>
    <x v="39"/>
  </r>
  <r>
    <x v="39"/>
  </r>
  <r>
    <x v="40"/>
  </r>
  <r>
    <x v="41"/>
  </r>
  <r>
    <x v="42"/>
  </r>
  <r>
    <x v="42"/>
  </r>
  <r>
    <x v="43"/>
  </r>
  <r>
    <x v="44"/>
  </r>
  <r>
    <x v="45"/>
  </r>
  <r>
    <x v="45"/>
  </r>
  <r>
    <x v="46"/>
  </r>
  <r>
    <x v="47"/>
  </r>
  <r>
    <x v="48"/>
  </r>
  <r>
    <x v="49"/>
  </r>
  <r>
    <x v="50"/>
  </r>
  <r>
    <x v="50"/>
  </r>
  <r>
    <x v="51"/>
  </r>
  <r>
    <x v="52"/>
  </r>
  <r>
    <x v="53"/>
  </r>
  <r>
    <x v="54"/>
  </r>
  <r>
    <x v="55"/>
  </r>
  <r>
    <x v="56"/>
  </r>
  <r>
    <x v="57"/>
  </r>
  <r>
    <x v="57"/>
  </r>
  <r>
    <x v="58"/>
  </r>
  <r>
    <x v="58"/>
  </r>
  <r>
    <x v="59"/>
  </r>
  <r>
    <x v="59"/>
  </r>
  <r>
    <x v="60"/>
  </r>
  <r>
    <x v="61"/>
  </r>
  <r>
    <x v="62"/>
  </r>
  <r>
    <x v="62"/>
  </r>
  <r>
    <x v="63"/>
  </r>
  <r>
    <x v="64"/>
  </r>
  <r>
    <x v="64"/>
  </r>
  <r>
    <x v="65"/>
  </r>
  <r>
    <x v="66"/>
  </r>
  <r>
    <x v="67"/>
  </r>
  <r>
    <x v="68"/>
  </r>
  <r>
    <x v="68"/>
  </r>
  <r>
    <x v="69"/>
  </r>
  <r>
    <x v="69"/>
  </r>
  <r>
    <x v="70"/>
  </r>
  <r>
    <x v="70"/>
  </r>
  <r>
    <x v="71"/>
  </r>
  <r>
    <x v="72"/>
  </r>
  <r>
    <x v="73"/>
  </r>
  <r>
    <x v="74"/>
  </r>
  <r>
    <x v="74"/>
  </r>
  <r>
    <x v="75"/>
  </r>
  <r>
    <x v="76"/>
  </r>
  <r>
    <x v="76"/>
  </r>
  <r>
    <x v="77"/>
  </r>
  <r>
    <x v="78"/>
  </r>
  <r>
    <x v="78"/>
  </r>
  <r>
    <x v="79"/>
  </r>
  <r>
    <x v="80"/>
  </r>
  <r>
    <x v="81"/>
  </r>
  <r>
    <x v="82"/>
  </r>
  <r>
    <x v="83"/>
  </r>
  <r>
    <x v="84"/>
  </r>
  <r>
    <x v="84"/>
  </r>
  <r>
    <x v="85"/>
  </r>
  <r>
    <x v="86"/>
  </r>
  <r>
    <x v="87"/>
  </r>
  <r>
    <x v="88"/>
  </r>
  <r>
    <x v="88"/>
  </r>
  <r>
    <x v="88"/>
  </r>
  <r>
    <x v="89"/>
  </r>
  <r>
    <x v="89"/>
  </r>
  <r>
    <x v="89"/>
  </r>
  <r>
    <x v="90"/>
  </r>
  <r>
    <x v="90"/>
  </r>
  <r>
    <x v="91"/>
  </r>
  <r>
    <x v="91"/>
  </r>
  <r>
    <x v="92"/>
  </r>
  <r>
    <x v="93"/>
  </r>
  <r>
    <x v="94"/>
  </r>
  <r>
    <x v="95"/>
  </r>
  <r>
    <x v="96"/>
  </r>
  <r>
    <x v="97"/>
  </r>
  <r>
    <x v="98"/>
  </r>
  <r>
    <x v="98"/>
  </r>
  <r>
    <x v="99"/>
  </r>
  <r>
    <x v="100"/>
  </r>
  <r>
    <x v="101"/>
  </r>
  <r>
    <x v="102"/>
  </r>
  <r>
    <x v="102"/>
  </r>
  <r>
    <x v="103"/>
  </r>
  <r>
    <x v="104"/>
  </r>
  <r>
    <x v="104"/>
  </r>
  <r>
    <x v="105"/>
  </r>
  <r>
    <x v="106"/>
  </r>
  <r>
    <x v="106"/>
  </r>
  <r>
    <x v="107"/>
  </r>
  <r>
    <x v="108"/>
  </r>
  <r>
    <x v="109"/>
  </r>
  <r>
    <x v="110"/>
  </r>
  <r>
    <x v="111"/>
  </r>
  <r>
    <x v="112"/>
  </r>
  <r>
    <x v="112"/>
  </r>
  <r>
    <x v="112"/>
  </r>
  <r>
    <x v="113"/>
  </r>
  <r>
    <x v="114"/>
  </r>
  <r>
    <x v="115"/>
  </r>
  <r>
    <x v="116"/>
  </r>
  <r>
    <x v="117"/>
  </r>
  <r>
    <x v="118"/>
  </r>
  <r>
    <x v="119"/>
  </r>
  <r>
    <x v="120"/>
  </r>
  <r>
    <x v="121"/>
  </r>
  <r>
    <x v="122"/>
  </r>
  <r>
    <x v="123"/>
  </r>
  <r>
    <x v="124"/>
  </r>
  <r>
    <x v="125"/>
  </r>
  <r>
    <x v="126"/>
  </r>
  <r>
    <x v="126"/>
  </r>
  <r>
    <x v="127"/>
  </r>
  <r>
    <x v="128"/>
  </r>
  <r>
    <x v="129"/>
  </r>
  <r>
    <x v="130"/>
  </r>
  <r>
    <x v="131"/>
  </r>
  <r>
    <x v="132"/>
  </r>
  <r>
    <x v="133"/>
  </r>
  <r>
    <x v="134"/>
  </r>
  <r>
    <x v="135"/>
  </r>
  <r>
    <x v="136"/>
  </r>
  <r>
    <x v="137"/>
  </r>
  <r>
    <x v="138"/>
  </r>
  <r>
    <x v="139"/>
  </r>
  <r>
    <x v="140"/>
  </r>
  <r>
    <x v="141"/>
  </r>
  <r>
    <x v="142"/>
  </r>
  <r>
    <x v="142"/>
  </r>
  <r>
    <x v="143"/>
  </r>
  <r>
    <x v="143"/>
  </r>
  <r>
    <x v="144"/>
  </r>
  <r>
    <x v="144"/>
  </r>
  <r>
    <x v="145"/>
  </r>
  <r>
    <x v="146"/>
  </r>
  <r>
    <x v="146"/>
  </r>
  <r>
    <x v="14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d v="2026-10-14T20:03:32"/>
    <n v="1"/>
    <s v="Emma Davis"/>
    <n v="1572.82"/>
  </r>
  <r>
    <s v="CUST012"/>
    <s v="Robert Anderson"/>
    <x v="0"/>
    <x v="1"/>
    <n v="1101.28"/>
    <n v="3"/>
    <n v="0.2"/>
    <d v="2024-04-11T00:00:00"/>
    <n v="440.51"/>
    <d v="2026-10-14T20:03:32"/>
    <n v="2"/>
    <s v="Sarah Anderson"/>
    <n v="1502.93"/>
  </r>
  <r>
    <s v="CUST017"/>
    <s v="James Taylor"/>
    <x v="1"/>
    <x v="0"/>
    <n v="713.34"/>
    <n v="17"/>
    <n v="0"/>
    <d v="2024-04-14T00:00:00"/>
    <n v="285.33999999999997"/>
    <d v="2026-10-14T20:03:32"/>
    <n v="3"/>
    <s v="Mary Jackson"/>
    <n v="1506.14"/>
  </r>
  <r>
    <s v="CUST005"/>
    <s v="Robert Anderson"/>
    <x v="2"/>
    <x v="2"/>
    <n v="760.93"/>
    <n v="4"/>
    <n v="0.15"/>
    <d v="2024-04-14T00:00:00"/>
    <n v="161.69999999999999"/>
    <d v="2026-10-14T20:03:32"/>
    <n v="4"/>
    <s v="Emma Davis"/>
    <n v="1526.6"/>
  </r>
  <r>
    <s v="CUST030"/>
    <s v="James Wilson"/>
    <x v="3"/>
    <x v="0"/>
    <n v="847"/>
    <n v="12"/>
    <n v="0.2"/>
    <d v="2024-04-15T00:00:00"/>
    <n v="271.04000000000002"/>
    <d v="2026-10-14T20:03:32"/>
    <n v="5"/>
    <s v="James Wilson"/>
    <n v="1923.66"/>
  </r>
  <r>
    <s v="CUST007"/>
    <s v="Michael Anderson"/>
    <x v="3"/>
    <x v="3"/>
    <n v="965.64"/>
    <n v="8"/>
    <n v="0.1"/>
    <d v="2024-04-16T00:00:00"/>
    <n v="304.18"/>
    <d v="2026-10-14T20:03:32"/>
    <m/>
    <m/>
    <m/>
  </r>
  <r>
    <s v="CUST001"/>
    <s v="Linda Wilson"/>
    <x v="0"/>
    <x v="2"/>
    <n v="1317.53"/>
    <n v="12"/>
    <n v="0.05"/>
    <d v="2024-04-16T00:00:00"/>
    <n v="312.91000000000003"/>
    <d v="2026-10-14T20:03:32"/>
    <m/>
    <m/>
    <m/>
  </r>
  <r>
    <s v="CUST026"/>
    <s v="Mary Davis"/>
    <x v="1"/>
    <x v="3"/>
    <n v="1074.47"/>
    <n v="6"/>
    <n v="0.2"/>
    <d v="2024-04-19T00:00:00"/>
    <n v="300.85000000000002"/>
    <d v="2026-10-14T20:03:32"/>
    <m/>
    <m/>
    <m/>
  </r>
  <r>
    <s v="CUST009"/>
    <s v="Linda Jackson"/>
    <x v="4"/>
    <x v="0"/>
    <n v="501.54"/>
    <n v="11"/>
    <n v="0.05"/>
    <d v="2024-04-19T00:00:00"/>
    <n v="190.59"/>
    <d v="2026-10-14T20:03:32"/>
    <m/>
    <m/>
    <m/>
  </r>
  <r>
    <s v="CUST010"/>
    <s v="David Thomas"/>
    <x v="4"/>
    <x v="1"/>
    <n v="737.31"/>
    <n v="2"/>
    <n v="0.05"/>
    <d v="2024-04-19T00:00:00"/>
    <n v="350.22"/>
    <d v="2026-10-14T20:03:32"/>
    <m/>
    <m/>
    <m/>
  </r>
  <r>
    <s v="CUST014"/>
    <s v="Emma Davis"/>
    <x v="0"/>
    <x v="4"/>
    <n v="1572.82"/>
    <n v="6"/>
    <n v="0.05"/>
    <d v="2024-04-20T00:00:00"/>
    <n v="672.38"/>
    <d v="2026-10-14T20:03:32"/>
    <m/>
    <m/>
    <m/>
  </r>
  <r>
    <s v="CUST014"/>
    <s v="David Thomas"/>
    <x v="4"/>
    <x v="0"/>
    <n v="1343.13"/>
    <n v="14"/>
    <n v="0.15"/>
    <d v="2024-04-22T00:00:00"/>
    <n v="456.66"/>
    <d v="2026-10-14T20:03:32"/>
    <m/>
    <m/>
    <m/>
  </r>
  <r>
    <s v="CUST007"/>
    <s v="Michael Anderson"/>
    <x v="4"/>
    <x v="0"/>
    <n v="1191.58"/>
    <n v="14"/>
    <n v="0.05"/>
    <d v="2024-04-24T00:00:00"/>
    <n v="452.8"/>
    <d v="2026-10-14T20:03:32"/>
    <m/>
    <m/>
    <m/>
  </r>
  <r>
    <s v="CUST023"/>
    <s v="Robert Anderson"/>
    <x v="0"/>
    <x v="3"/>
    <n v="822.28"/>
    <n v="7"/>
    <n v="0.05"/>
    <d v="2024-04-24T00:00:00"/>
    <n v="273.41000000000003"/>
    <d v="2026-10-14T20:03:32"/>
    <m/>
    <m/>
    <m/>
  </r>
  <r>
    <s v="CUST029"/>
    <s v="David Smith"/>
    <x v="3"/>
    <x v="3"/>
    <n v="521.66999999999996"/>
    <n v="15"/>
    <n v="0.15"/>
    <d v="2024-04-27T00:00:00"/>
    <n v="155.19999999999999"/>
    <d v="2026-10-14T20:03:32"/>
    <m/>
    <m/>
    <m/>
  </r>
  <r>
    <s v="CUST005"/>
    <s v="Sarah Anderson"/>
    <x v="2"/>
    <x v="2"/>
    <n v="1502.93"/>
    <n v="14"/>
    <n v="0.2"/>
    <d v="2024-04-28T00:00:00"/>
    <n v="300.58999999999997"/>
    <d v="2026-10-14T20:03:32"/>
    <m/>
    <m/>
    <m/>
  </r>
  <r>
    <s v="CUST008"/>
    <s v="Robert Anderson"/>
    <x v="2"/>
    <x v="0"/>
    <n v="877.58"/>
    <n v="10"/>
    <n v="0.15"/>
    <d v="2024-04-29T00:00:00"/>
    <n v="298.38"/>
    <d v="2026-10-14T20:03:32"/>
    <m/>
    <m/>
    <m/>
  </r>
  <r>
    <s v="CUST001"/>
    <s v="Lisa Thomas"/>
    <x v="0"/>
    <x v="0"/>
    <n v="636.70000000000005"/>
    <n v="4"/>
    <n v="0.2"/>
    <d v="2024-04-29T00:00:00"/>
    <n v="203.74"/>
    <d v="2026-10-14T20:03:32"/>
    <m/>
    <m/>
    <m/>
  </r>
  <r>
    <s v="CUST006"/>
    <s v="Mary Jackson"/>
    <x v="0"/>
    <x v="0"/>
    <n v="1506.14"/>
    <n v="13"/>
    <n v="0.2"/>
    <d v="2024-04-30T00:00:00"/>
    <n v="481.96"/>
    <d v="2026-10-14T20:03:32"/>
    <m/>
    <m/>
    <m/>
  </r>
  <r>
    <s v="CUST026"/>
    <s v="Mary Davis"/>
    <x v="4"/>
    <x v="2"/>
    <n v="645.02"/>
    <n v="4"/>
    <n v="0"/>
    <d v="2024-05-02T00:00:00"/>
    <n v="161.26"/>
    <d v="2026-10-14T20:03:32"/>
    <m/>
    <m/>
    <m/>
  </r>
  <r>
    <s v="CUST007"/>
    <s v="Lisa Davis"/>
    <x v="2"/>
    <x v="1"/>
    <n v="953.3"/>
    <n v="11"/>
    <n v="0"/>
    <d v="2024-05-03T00:00:00"/>
    <n v="476.65"/>
    <d v="2026-10-14T20:03:32"/>
    <m/>
    <m/>
    <m/>
  </r>
  <r>
    <s v="CUST022"/>
    <s v="Robert Anderson"/>
    <x v="3"/>
    <x v="2"/>
    <n v="388.56"/>
    <n v="14"/>
    <n v="0.15"/>
    <d v="2024-05-04T00:00:00"/>
    <n v="82.57"/>
    <d v="2026-10-14T20:03:32"/>
    <m/>
    <m/>
    <m/>
  </r>
  <r>
    <s v="CUST019"/>
    <s v="Mary Davis"/>
    <x v="0"/>
    <x v="0"/>
    <n v="743.17"/>
    <n v="9"/>
    <n v="0"/>
    <d v="2024-05-04T00:00:00"/>
    <n v="297.27"/>
    <d v="2026-10-14T20:03:32"/>
    <m/>
    <m/>
    <m/>
  </r>
  <r>
    <s v="CUST023"/>
    <s v="Mary Davis"/>
    <x v="4"/>
    <x v="2"/>
    <n v="706.37"/>
    <n v="6"/>
    <n v="0"/>
    <d v="2024-05-04T00:00:00"/>
    <n v="176.59"/>
    <d v="2026-10-14T20:03:32"/>
    <m/>
    <m/>
    <m/>
  </r>
  <r>
    <s v="CUST012"/>
    <s v="Mary Davis"/>
    <x v="4"/>
    <x v="4"/>
    <n v="925.31"/>
    <n v="8"/>
    <n v="0.1"/>
    <d v="2024-05-06T00:00:00"/>
    <n v="374.75"/>
    <d v="2026-10-14T20:03:32"/>
    <m/>
    <m/>
    <m/>
  </r>
  <r>
    <s v="CUST010"/>
    <s v="Linda Brown"/>
    <x v="2"/>
    <x v="2"/>
    <n v="1173.1199999999999"/>
    <n v="18"/>
    <n v="0"/>
    <d v="2024-05-06T00:00:00"/>
    <n v="293.27999999999997"/>
    <d v="2026-10-14T20:03:32"/>
    <m/>
    <m/>
    <m/>
  </r>
  <r>
    <s v="CUST030"/>
    <s v="John Brown"/>
    <x v="3"/>
    <x v="3"/>
    <n v="675.54"/>
    <n v="17"/>
    <n v="0"/>
    <d v="2024-05-08T00:00:00"/>
    <n v="236.44"/>
    <d v="2026-10-14T20:03:32"/>
    <m/>
    <m/>
    <m/>
  </r>
  <r>
    <s v="CUST007"/>
    <s v="Robert Anderson"/>
    <x v="4"/>
    <x v="0"/>
    <n v="939.09"/>
    <n v="2"/>
    <n v="0.05"/>
    <d v="2024-05-10T00:00:00"/>
    <n v="356.85"/>
    <d v="2026-10-14T20:03:32"/>
    <m/>
    <m/>
    <m/>
  </r>
  <r>
    <s v="CUST028"/>
    <s v="Linda Taylor"/>
    <x v="1"/>
    <x v="4"/>
    <n v="983.34"/>
    <n v="19"/>
    <n v="0.1"/>
    <d v="2024-05-14T00:00:00"/>
    <n v="398.25"/>
    <d v="2026-10-14T20:03:32"/>
    <m/>
    <m/>
    <m/>
  </r>
  <r>
    <s v="CUST028"/>
    <s v="James Wilson"/>
    <x v="2"/>
    <x v="2"/>
    <n v="801.21"/>
    <n v="3"/>
    <n v="0.2"/>
    <d v="2024-05-14T00:00:00"/>
    <n v="160.24"/>
    <d v="2026-10-14T20:03:32"/>
    <m/>
    <m/>
    <m/>
  </r>
  <r>
    <s v="CUST025"/>
    <s v="David Brown"/>
    <x v="3"/>
    <x v="2"/>
    <n v="1450.71"/>
    <n v="5"/>
    <n v="0.1"/>
    <d v="2024-05-15T00:00:00"/>
    <n v="326.41000000000003"/>
    <d v="2026-10-14T20:03:32"/>
    <m/>
    <m/>
    <m/>
  </r>
  <r>
    <s v="CUST022"/>
    <s v="David Davis"/>
    <x v="4"/>
    <x v="0"/>
    <n v="1023.21"/>
    <n v="18"/>
    <n v="0.05"/>
    <d v="2024-05-16T00:00:00"/>
    <n v="388.82"/>
    <d v="2026-10-14T20:03:32"/>
    <m/>
    <m/>
    <m/>
  </r>
  <r>
    <s v="CUST001"/>
    <s v="Mary Jackson"/>
    <x v="0"/>
    <x v="3"/>
    <n v="853.72"/>
    <n v="5"/>
    <n v="0.15"/>
    <d v="2024-05-16T00:00:00"/>
    <n v="253.98"/>
    <d v="2026-10-14T20:03:32"/>
    <m/>
    <m/>
    <m/>
  </r>
  <r>
    <s v="CUST021"/>
    <s v="Sarah Anderson"/>
    <x v="2"/>
    <x v="2"/>
    <n v="967.89"/>
    <n v="10"/>
    <n v="0.1"/>
    <d v="2024-05-17T00:00:00"/>
    <n v="217.78"/>
    <d v="2026-10-14T20:03:32"/>
    <m/>
    <m/>
    <m/>
  </r>
  <r>
    <s v="CUST015"/>
    <s v="Linda Taylor"/>
    <x v="3"/>
    <x v="4"/>
    <n v="1200.9000000000001"/>
    <n v="14"/>
    <n v="0.05"/>
    <d v="2024-05-17T00:00:00"/>
    <n v="513.38"/>
    <d v="2026-10-14T20:03:32"/>
    <m/>
    <m/>
    <m/>
  </r>
  <r>
    <s v="CUST012"/>
    <s v="Michael Anderson"/>
    <x v="0"/>
    <x v="0"/>
    <n v="472.38"/>
    <n v="12"/>
    <n v="0.2"/>
    <d v="2024-05-17T00:00:00"/>
    <n v="151.16"/>
    <d v="2026-10-14T20:03:32"/>
    <m/>
    <m/>
    <m/>
  </r>
  <r>
    <s v="CUST019"/>
    <s v="David Brown"/>
    <x v="1"/>
    <x v="4"/>
    <n v="840.92"/>
    <n v="9"/>
    <n v="0.05"/>
    <d v="2024-05-17T00:00:00"/>
    <n v="359.49"/>
    <d v="2026-10-14T20:03:32"/>
    <m/>
    <m/>
    <m/>
  </r>
  <r>
    <s v="CUST028"/>
    <s v="Lisa Davis"/>
    <x v="4"/>
    <x v="3"/>
    <n v="1410.06"/>
    <n v="11"/>
    <n v="0.05"/>
    <d v="2024-05-22T00:00:00"/>
    <n v="468.84"/>
    <d v="2026-10-14T20:03:32"/>
    <m/>
    <m/>
    <m/>
  </r>
  <r>
    <s v="CUST008"/>
    <s v="Mary Wilson"/>
    <x v="4"/>
    <x v="3"/>
    <n v="773.09"/>
    <n v="13"/>
    <n v="0.15"/>
    <d v="2024-05-22T00:00:00"/>
    <n v="229.99"/>
    <d v="2026-10-14T20:03:32"/>
    <m/>
    <m/>
    <m/>
  </r>
  <r>
    <s v="CUST016"/>
    <s v="Emma Wilson"/>
    <x v="1"/>
    <x v="0"/>
    <n v="580.42999999999995"/>
    <n v="19"/>
    <n v="0.15"/>
    <d v="2024-05-23T00:00:00"/>
    <n v="197.35"/>
    <d v="2026-10-14T20:03:32"/>
    <m/>
    <m/>
    <m/>
  </r>
  <r>
    <s v="CUST005"/>
    <s v="David Smith"/>
    <x v="2"/>
    <x v="0"/>
    <n v="1151.21"/>
    <n v="15"/>
    <n v="0.1"/>
    <d v="2024-06-02T00:00:00"/>
    <n v="414.44"/>
    <d v="2026-10-14T20:03:32"/>
    <m/>
    <m/>
    <m/>
  </r>
  <r>
    <s v="CUST028"/>
    <s v="James Wilson"/>
    <x v="4"/>
    <x v="4"/>
    <n v="1025.98"/>
    <n v="5"/>
    <n v="0.2"/>
    <d v="2024-06-04T00:00:00"/>
    <n v="369.35"/>
    <d v="2026-10-14T20:03:32"/>
    <m/>
    <m/>
    <m/>
  </r>
  <r>
    <s v="CUST023"/>
    <s v="David Davis"/>
    <x v="1"/>
    <x v="4"/>
    <n v="556.41999999999996"/>
    <n v="11"/>
    <n v="0.15"/>
    <d v="2024-06-04T00:00:00"/>
    <n v="212.83"/>
    <d v="2026-10-14T20:03:32"/>
    <m/>
    <m/>
    <m/>
  </r>
  <r>
    <s v="CUST021"/>
    <s v="James Wilson"/>
    <x v="4"/>
    <x v="0"/>
    <n v="840.85"/>
    <n v="19"/>
    <n v="0.1"/>
    <d v="2024-06-05T00:00:00"/>
    <n v="302.70999999999998"/>
    <d v="2026-10-14T20:03:32"/>
    <m/>
    <m/>
    <m/>
  </r>
  <r>
    <s v="CUST026"/>
    <s v="Emma Wilson"/>
    <x v="3"/>
    <x v="3"/>
    <n v="1227.25"/>
    <n v="12"/>
    <n v="0.15"/>
    <d v="2024-06-05T00:00:00"/>
    <n v="365.11"/>
    <d v="2026-10-14T20:03:32"/>
    <m/>
    <m/>
    <m/>
  </r>
  <r>
    <s v="CUST017"/>
    <s v="Linda Davis"/>
    <x v="4"/>
    <x v="2"/>
    <n v="856.7"/>
    <n v="2"/>
    <n v="0"/>
    <d v="2024-06-06T00:00:00"/>
    <n v="214.18"/>
    <d v="2026-10-14T20:03:32"/>
    <m/>
    <m/>
    <m/>
  </r>
  <r>
    <s v="CUST025"/>
    <s v="David Davis"/>
    <x v="4"/>
    <x v="4"/>
    <n v="1225.42"/>
    <n v="8"/>
    <n v="0.15"/>
    <d v="2024-06-06T00:00:00"/>
    <n v="468.72"/>
    <d v="2026-10-14T20:03:32"/>
    <m/>
    <m/>
    <m/>
  </r>
  <r>
    <s v="CUST011"/>
    <s v="Mary Davis"/>
    <x v="3"/>
    <x v="4"/>
    <n v="1001.57"/>
    <n v="12"/>
    <n v="0"/>
    <d v="2024-06-07T00:00:00"/>
    <n v="450.71"/>
    <d v="2026-10-14T20:03:32"/>
    <m/>
    <m/>
    <m/>
  </r>
  <r>
    <s v="CUST021"/>
    <s v="Michael Anderson"/>
    <x v="1"/>
    <x v="3"/>
    <n v="1186.8499999999999"/>
    <n v="19"/>
    <n v="0.2"/>
    <d v="2024-06-08T00:00:00"/>
    <n v="332.32"/>
    <d v="2026-10-14T20:03:32"/>
    <m/>
    <m/>
    <m/>
  </r>
  <r>
    <s v="CUST008"/>
    <s v="John Brown"/>
    <x v="2"/>
    <x v="2"/>
    <n v="775.45"/>
    <n v="6"/>
    <n v="0.1"/>
    <d v="2024-06-14T00:00:00"/>
    <n v="174.48"/>
    <d v="2026-10-14T20:03:32"/>
    <m/>
    <m/>
    <m/>
  </r>
  <r>
    <s v="CUST007"/>
    <s v="Linda Jackson"/>
    <x v="2"/>
    <x v="2"/>
    <n v="1021.47"/>
    <n v="6"/>
    <n v="0.05"/>
    <d v="2024-06-18T00:00:00"/>
    <n v="242.6"/>
    <d v="2026-10-14T20:03:32"/>
    <m/>
    <m/>
    <m/>
  </r>
  <r>
    <s v="CUST015"/>
    <s v="James Wilson"/>
    <x v="2"/>
    <x v="1"/>
    <n v="1226.6199999999999"/>
    <n v="7"/>
    <n v="0.1"/>
    <d v="2024-06-20T00:00:00"/>
    <n v="551.98"/>
    <d v="2026-10-14T20:03:32"/>
    <m/>
    <m/>
    <m/>
  </r>
  <r>
    <s v="CUST030"/>
    <s v="Sarah Davis"/>
    <x v="2"/>
    <x v="3"/>
    <n v="1086.93"/>
    <n v="2"/>
    <n v="0"/>
    <d v="2024-06-21T00:00:00"/>
    <n v="380.43"/>
    <d v="2026-10-14T20:03:32"/>
    <m/>
    <m/>
    <m/>
  </r>
  <r>
    <s v="CUST002"/>
    <s v="Lisa Davis"/>
    <x v="0"/>
    <x v="0"/>
    <n v="942.9"/>
    <n v="18"/>
    <n v="0.1"/>
    <d v="2024-06-23T00:00:00"/>
    <n v="339.44"/>
    <d v="2026-10-14T20:03:32"/>
    <m/>
    <m/>
    <m/>
  </r>
  <r>
    <s v="CUST009"/>
    <s v="Emma Davis"/>
    <x v="3"/>
    <x v="2"/>
    <n v="818.8"/>
    <n v="15"/>
    <n v="0.15"/>
    <d v="2024-06-25T00:00:00"/>
    <n v="173.99"/>
    <d v="2026-10-14T20:03:32"/>
    <m/>
    <m/>
    <m/>
  </r>
  <r>
    <s v="CUST005"/>
    <s v="Robert Anderson"/>
    <x v="2"/>
    <x v="3"/>
    <n v="919.04"/>
    <n v="10"/>
    <n v="0.2"/>
    <d v="2024-06-25T00:00:00"/>
    <n v="257.33"/>
    <d v="2026-10-14T20:03:32"/>
    <m/>
    <m/>
    <m/>
  </r>
  <r>
    <s v="CUST030"/>
    <s v="Emma Taylor"/>
    <x v="4"/>
    <x v="0"/>
    <n v="973.26"/>
    <n v="11"/>
    <n v="0"/>
    <d v="2024-06-27T00:00:00"/>
    <n v="389.3"/>
    <d v="2026-10-14T20:03:32"/>
    <m/>
    <m/>
    <m/>
  </r>
  <r>
    <s v="CUST029"/>
    <s v="Sarah Davis"/>
    <x v="3"/>
    <x v="2"/>
    <n v="741.61"/>
    <n v="1"/>
    <n v="0.2"/>
    <d v="2024-06-28T00:00:00"/>
    <n v="148.32"/>
    <d v="2026-10-14T20:03:32"/>
    <m/>
    <m/>
    <m/>
  </r>
  <r>
    <s v="CUST003"/>
    <s v="Emma Davis"/>
    <x v="3"/>
    <x v="0"/>
    <n v="1248.82"/>
    <n v="2"/>
    <n v="0.1"/>
    <d v="2024-06-30T00:00:00"/>
    <n v="449.58"/>
    <d v="2026-10-14T20:03:32"/>
    <m/>
    <m/>
    <m/>
  </r>
  <r>
    <s v="CUST012"/>
    <s v="Mary Wilson"/>
    <x v="0"/>
    <x v="1"/>
    <n v="1360.36"/>
    <n v="17"/>
    <n v="0"/>
    <d v="2024-06-30T00:00:00"/>
    <n v="680.18"/>
    <d v="2026-10-14T20:03:32"/>
    <m/>
    <m/>
    <m/>
  </r>
  <r>
    <s v="CUST021"/>
    <s v="Mary Davis"/>
    <x v="1"/>
    <x v="0"/>
    <n v="1383.3"/>
    <n v="8"/>
    <n v="0.1"/>
    <d v="2024-07-05T00:00:00"/>
    <n v="497.99"/>
    <d v="2026-10-14T20:03:32"/>
    <m/>
    <m/>
    <m/>
  </r>
  <r>
    <s v="CUST010"/>
    <s v="David Brown"/>
    <x v="4"/>
    <x v="4"/>
    <n v="488.99"/>
    <n v="9"/>
    <n v="0"/>
    <d v="2024-07-06T00:00:00"/>
    <n v="220.05"/>
    <d v="2026-10-14T20:03:32"/>
    <m/>
    <m/>
    <m/>
  </r>
  <r>
    <s v="CUST026"/>
    <s v="Mary Davis"/>
    <x v="1"/>
    <x v="3"/>
    <n v="933.71"/>
    <n v="17"/>
    <n v="0.1"/>
    <d v="2024-07-08T00:00:00"/>
    <n v="294.12"/>
    <d v="2026-10-14T20:03:32"/>
    <m/>
    <m/>
    <m/>
  </r>
  <r>
    <s v="CUST003"/>
    <s v="James Davis"/>
    <x v="0"/>
    <x v="2"/>
    <n v="1005.53"/>
    <n v="17"/>
    <n v="0.2"/>
    <d v="2024-07-08T00:00:00"/>
    <n v="201.11"/>
    <d v="2026-10-14T20:03:32"/>
    <m/>
    <m/>
    <m/>
  </r>
  <r>
    <s v="CUST029"/>
    <s v="Emma Wilson"/>
    <x v="2"/>
    <x v="2"/>
    <n v="1100.0999999999999"/>
    <n v="5"/>
    <n v="0.05"/>
    <d v="2024-07-09T00:00:00"/>
    <n v="261.27"/>
    <d v="2026-10-14T20:03:32"/>
    <m/>
    <m/>
    <m/>
  </r>
  <r>
    <s v="CUST003"/>
    <s v="James Wilson"/>
    <x v="3"/>
    <x v="3"/>
    <n v="1034.7"/>
    <n v="15"/>
    <n v="0.15"/>
    <d v="2024-07-14T00:00:00"/>
    <n v="307.82"/>
    <d v="2026-10-14T20:03:32"/>
    <m/>
    <m/>
    <m/>
  </r>
  <r>
    <s v="CUST002"/>
    <s v="Mary Davis"/>
    <x v="2"/>
    <x v="0"/>
    <n v="876.44"/>
    <n v="12"/>
    <n v="0.05"/>
    <d v="2024-07-15T00:00:00"/>
    <n v="333.05"/>
    <d v="2026-10-14T20:03:32"/>
    <m/>
    <m/>
    <m/>
  </r>
  <r>
    <s v="CUST020"/>
    <s v="David Brown"/>
    <x v="0"/>
    <x v="3"/>
    <n v="1371.34"/>
    <n v="5"/>
    <n v="0.05"/>
    <d v="2024-07-15T00:00:00"/>
    <n v="455.97"/>
    <d v="2026-10-14T20:03:32"/>
    <m/>
    <m/>
    <m/>
  </r>
  <r>
    <s v="CUST021"/>
    <s v="Mary Jackson"/>
    <x v="3"/>
    <x v="2"/>
    <n v="1020.26"/>
    <n v="11"/>
    <n v="0.05"/>
    <d v="2024-07-21T00:00:00"/>
    <n v="242.31"/>
    <d v="2026-10-14T20:03:32"/>
    <m/>
    <m/>
    <m/>
  </r>
  <r>
    <s v="CUST008"/>
    <s v="James Davis"/>
    <x v="4"/>
    <x v="4"/>
    <n v="804.81"/>
    <n v="1"/>
    <n v="0.05"/>
    <d v="2024-07-29T00:00:00"/>
    <n v="344.06"/>
    <d v="2026-10-14T20:03:32"/>
    <m/>
    <m/>
    <m/>
  </r>
  <r>
    <s v="CUST030"/>
    <s v="David Brown"/>
    <x v="4"/>
    <x v="2"/>
    <n v="608.66"/>
    <n v="1"/>
    <n v="0.05"/>
    <d v="2024-07-30T00:00:00"/>
    <n v="144.56"/>
    <d v="2026-10-14T20:03:32"/>
    <m/>
    <m/>
    <m/>
  </r>
  <r>
    <s v="CUST020"/>
    <s v="Linda Moore"/>
    <x v="2"/>
    <x v="4"/>
    <n v="981.2"/>
    <n v="19"/>
    <n v="0"/>
    <d v="2024-07-31T00:00:00"/>
    <n v="441.54"/>
    <d v="2026-10-14T20:03:32"/>
    <m/>
    <m/>
    <m/>
  </r>
  <r>
    <s v="CUST024"/>
    <s v="David Brown"/>
    <x v="1"/>
    <x v="2"/>
    <n v="539.77"/>
    <n v="10"/>
    <n v="0.15"/>
    <d v="2024-08-05T00:00:00"/>
    <n v="114.7"/>
    <d v="2026-10-14T20:03:32"/>
    <m/>
    <m/>
    <m/>
  </r>
  <r>
    <s v="CUST012"/>
    <s v="David Anderson"/>
    <x v="2"/>
    <x v="0"/>
    <n v="804.45"/>
    <n v="5"/>
    <n v="0.2"/>
    <d v="2024-08-05T00:00:00"/>
    <n v="257.42"/>
    <d v="2026-10-14T20:03:32"/>
    <m/>
    <m/>
    <m/>
  </r>
  <r>
    <s v="CUST024"/>
    <s v="Emma Davis"/>
    <x v="0"/>
    <x v="2"/>
    <n v="1526.6"/>
    <n v="13"/>
    <n v="0.2"/>
    <d v="2024-08-08T00:00:00"/>
    <n v="305.32"/>
    <d v="2026-10-14T20:03:32"/>
    <m/>
    <m/>
    <m/>
  </r>
  <r>
    <s v="CUST012"/>
    <s v="Linda Wilson"/>
    <x v="0"/>
    <x v="2"/>
    <n v="1215.26"/>
    <n v="5"/>
    <n v="0.15"/>
    <d v="2024-08-09T00:00:00"/>
    <n v="258.24"/>
    <d v="2026-10-14T20:03:32"/>
    <m/>
    <m/>
    <m/>
  </r>
  <r>
    <s v="CUST005"/>
    <s v="Linda Taylor"/>
    <x v="4"/>
    <x v="3"/>
    <n v="1261.3399999999999"/>
    <n v="3"/>
    <n v="0"/>
    <d v="2024-08-15T00:00:00"/>
    <n v="441.47"/>
    <d v="2026-10-14T20:03:32"/>
    <m/>
    <m/>
    <m/>
  </r>
  <r>
    <s v="CUST004"/>
    <s v="Lisa Thomas"/>
    <x v="3"/>
    <x v="3"/>
    <n v="518.07000000000005"/>
    <n v="7"/>
    <n v="0.05"/>
    <d v="2024-08-18T00:00:00"/>
    <n v="172.26"/>
    <d v="2026-10-14T20:03:32"/>
    <m/>
    <m/>
    <m/>
  </r>
  <r>
    <s v="CUST026"/>
    <s v="Linda Wilson"/>
    <x v="0"/>
    <x v="4"/>
    <n v="1111.3399999999999"/>
    <n v="1"/>
    <n v="0"/>
    <d v="2024-08-19T00:00:00"/>
    <n v="500.1"/>
    <d v="2026-10-14T20:03:32"/>
    <m/>
    <m/>
    <m/>
  </r>
  <r>
    <s v="CUST030"/>
    <s v="Mary Davis"/>
    <x v="1"/>
    <x v="1"/>
    <n v="1291.47"/>
    <n v="18"/>
    <n v="0.1"/>
    <d v="2024-08-22T00:00:00"/>
    <n v="581.16"/>
    <d v="2026-10-14T20:03:32"/>
    <m/>
    <m/>
    <m/>
  </r>
  <r>
    <s v="CUST007"/>
    <s v="David Brown"/>
    <x v="3"/>
    <x v="0"/>
    <n v="679.71"/>
    <n v="19"/>
    <n v="0"/>
    <d v="2024-08-30T00:00:00"/>
    <n v="271.88"/>
    <d v="2026-10-14T20:03:32"/>
    <m/>
    <m/>
    <m/>
  </r>
  <r>
    <s v="CUST020"/>
    <s v="Linda Jackson"/>
    <x v="1"/>
    <x v="3"/>
    <n v="1143.69"/>
    <n v="17"/>
    <n v="0"/>
    <d v="2024-08-30T00:00:00"/>
    <n v="400.29"/>
    <d v="2026-10-14T20:03:32"/>
    <m/>
    <m/>
    <m/>
  </r>
  <r>
    <s v="CUST028"/>
    <s v="Linda Brown"/>
    <x v="4"/>
    <x v="2"/>
    <n v="790.08"/>
    <n v="7"/>
    <n v="0.1"/>
    <d v="2024-09-01T00:00:00"/>
    <n v="177.77"/>
    <d v="2026-10-14T20:03:32"/>
    <m/>
    <m/>
    <m/>
  </r>
  <r>
    <s v="CUST005"/>
    <s v="Lisa Davis"/>
    <x v="4"/>
    <x v="0"/>
    <n v="1070.68"/>
    <n v="7"/>
    <n v="0.05"/>
    <d v="2024-09-01T00:00:00"/>
    <n v="406.86"/>
    <d v="2026-10-14T20:03:32"/>
    <m/>
    <m/>
    <m/>
  </r>
  <r>
    <s v="CUST015"/>
    <s v="David Thomas"/>
    <x v="0"/>
    <x v="1"/>
    <n v="1168.8900000000001"/>
    <n v="4"/>
    <n v="0.1"/>
    <d v="2024-09-09T00:00:00"/>
    <n v="526"/>
    <d v="2026-10-14T20:03:32"/>
    <m/>
    <m/>
    <m/>
  </r>
  <r>
    <s v="CUST003"/>
    <s v="James Davis"/>
    <x v="2"/>
    <x v="2"/>
    <n v="1335.87"/>
    <n v="17"/>
    <n v="0"/>
    <d v="2024-09-09T00:00:00"/>
    <n v="333.97"/>
    <d v="2026-10-14T20:03:32"/>
    <m/>
    <m/>
    <m/>
  </r>
  <r>
    <s v="CUST023"/>
    <s v="David Brown"/>
    <x v="1"/>
    <x v="3"/>
    <n v="873.7"/>
    <n v="9"/>
    <n v="0"/>
    <d v="2024-09-11T00:00:00"/>
    <n v="305.8"/>
    <d v="2026-10-14T20:03:32"/>
    <m/>
    <m/>
    <m/>
  </r>
  <r>
    <s v="CUST004"/>
    <s v="Sarah Davis"/>
    <x v="0"/>
    <x v="4"/>
    <n v="1443.98"/>
    <n v="19"/>
    <n v="0"/>
    <d v="2024-09-12T00:00:00"/>
    <n v="649.79"/>
    <d v="2026-10-14T20:03:32"/>
    <m/>
    <m/>
    <m/>
  </r>
  <r>
    <s v="CUST023"/>
    <s v="James Wilson"/>
    <x v="1"/>
    <x v="4"/>
    <n v="1154.33"/>
    <n v="11"/>
    <n v="0.15"/>
    <d v="2024-09-14T00:00:00"/>
    <n v="441.53"/>
    <d v="2026-10-14T20:03:32"/>
    <m/>
    <m/>
    <m/>
  </r>
  <r>
    <s v="CUST022"/>
    <s v="Linda Brown"/>
    <x v="2"/>
    <x v="0"/>
    <n v="1264.49"/>
    <n v="16"/>
    <n v="0.05"/>
    <d v="2024-09-14T00:00:00"/>
    <n v="480.51"/>
    <d v="2026-10-14T20:03:32"/>
    <m/>
    <m/>
    <m/>
  </r>
  <r>
    <s v="CUST007"/>
    <s v="Emma Taylor"/>
    <x v="0"/>
    <x v="3"/>
    <n v="1101.55"/>
    <n v="4"/>
    <n v="0.1"/>
    <d v="2024-09-16T00:00:00"/>
    <n v="346.99"/>
    <d v="2026-10-14T20:03:32"/>
    <m/>
    <m/>
    <m/>
  </r>
  <r>
    <s v="CUST013"/>
    <s v="Robert Anderson"/>
    <x v="2"/>
    <x v="3"/>
    <n v="727.73"/>
    <n v="1"/>
    <n v="0.1"/>
    <d v="2024-09-17T00:00:00"/>
    <n v="229.23"/>
    <d v="2026-10-14T20:03:32"/>
    <m/>
    <m/>
    <m/>
  </r>
  <r>
    <s v="CUST027"/>
    <s v="Emma Davis"/>
    <x v="1"/>
    <x v="4"/>
    <n v="875.41"/>
    <n v="13"/>
    <n v="0.15"/>
    <d v="2024-09-17T00:00:00"/>
    <n v="334.84"/>
    <d v="2026-10-14T20:03:32"/>
    <m/>
    <m/>
    <m/>
  </r>
  <r>
    <s v="CUST003"/>
    <s v="James Wilson"/>
    <x v="0"/>
    <x v="2"/>
    <n v="1158.94"/>
    <n v="19"/>
    <n v="0.2"/>
    <d v="2024-09-18T00:00:00"/>
    <n v="231.79"/>
    <d v="2026-10-14T20:03:32"/>
    <m/>
    <m/>
    <m/>
  </r>
  <r>
    <s v="CUST018"/>
    <s v="Mary Jackson"/>
    <x v="2"/>
    <x v="0"/>
    <n v="966.3"/>
    <n v="2"/>
    <n v="0.15"/>
    <d v="2024-09-22T00:00:00"/>
    <n v="328.54"/>
    <d v="2026-10-14T20:03:32"/>
    <m/>
    <m/>
    <m/>
  </r>
  <r>
    <s v="CUST020"/>
    <s v="James Taylor"/>
    <x v="2"/>
    <x v="0"/>
    <n v="917.48"/>
    <n v="6"/>
    <n v="0"/>
    <d v="2024-09-23T00:00:00"/>
    <n v="366.99"/>
    <d v="2026-10-14T20:03:32"/>
    <m/>
    <m/>
    <m/>
  </r>
  <r>
    <s v="CUST029"/>
    <s v="Emma Wilson"/>
    <x v="0"/>
    <x v="3"/>
    <n v="1172.97"/>
    <n v="7"/>
    <n v="0.15"/>
    <d v="2024-09-24T00:00:00"/>
    <n v="348.96"/>
    <d v="2026-10-14T20:03:32"/>
    <m/>
    <m/>
    <m/>
  </r>
  <r>
    <s v="CUST021"/>
    <s v="James Wilson"/>
    <x v="3"/>
    <x v="1"/>
    <n v="1205.82"/>
    <n v="11"/>
    <n v="0.1"/>
    <d v="2024-09-24T00:00:00"/>
    <n v="542.62"/>
    <d v="2026-10-14T20:03:32"/>
    <m/>
    <m/>
    <m/>
  </r>
  <r>
    <s v="CUST017"/>
    <s v="Sarah Davis"/>
    <x v="0"/>
    <x v="4"/>
    <n v="826.93"/>
    <n v="10"/>
    <n v="0.2"/>
    <d v="2024-09-29T00:00:00"/>
    <n v="297.69"/>
    <d v="2026-10-14T20:03:32"/>
    <m/>
    <m/>
    <m/>
  </r>
  <r>
    <s v="CUST003"/>
    <s v="James Wilson"/>
    <x v="4"/>
    <x v="1"/>
    <n v="902.19"/>
    <n v="12"/>
    <n v="0"/>
    <d v="2024-09-29T00:00:00"/>
    <n v="451.1"/>
    <d v="2026-10-14T20:03:32"/>
    <m/>
    <m/>
    <m/>
  </r>
  <r>
    <s v="CUST027"/>
    <s v="Emma Davis"/>
    <x v="3"/>
    <x v="0"/>
    <n v="585.97"/>
    <n v="17"/>
    <n v="0.1"/>
    <d v="2024-09-30T00:00:00"/>
    <n v="210.95"/>
    <d v="2026-10-14T20:03:32"/>
    <m/>
    <m/>
    <m/>
  </r>
  <r>
    <s v="CUST016"/>
    <s v="Michael Anderson"/>
    <x v="3"/>
    <x v="1"/>
    <n v="990.19"/>
    <n v="8"/>
    <n v="0.1"/>
    <d v="2024-09-30T00:00:00"/>
    <n v="445.59"/>
    <d v="2026-10-14T20:03:32"/>
    <m/>
    <m/>
    <m/>
  </r>
  <r>
    <s v="CUST008"/>
    <s v="David Davis"/>
    <x v="4"/>
    <x v="2"/>
    <n v="1014.09"/>
    <n v="13"/>
    <n v="0.2"/>
    <d v="2024-10-02T00:00:00"/>
    <n v="202.82"/>
    <d v="2026-10-14T20:03:32"/>
    <m/>
    <m/>
    <m/>
  </r>
  <r>
    <s v="CUST012"/>
    <s v="Lisa Davis"/>
    <x v="3"/>
    <x v="2"/>
    <n v="925.29"/>
    <n v="17"/>
    <n v="0"/>
    <d v="2024-10-05T00:00:00"/>
    <n v="231.32"/>
    <d v="2026-10-14T20:03:32"/>
    <m/>
    <m/>
    <m/>
  </r>
  <r>
    <s v="CUST025"/>
    <s v="Mary Jackson"/>
    <x v="1"/>
    <x v="3"/>
    <n v="1286.54"/>
    <n v="8"/>
    <n v="0"/>
    <d v="2024-10-10T00:00:00"/>
    <n v="450.29"/>
    <d v="2026-10-14T20:03:32"/>
    <m/>
    <m/>
    <m/>
  </r>
  <r>
    <s v="CUST014"/>
    <s v="Sarah Davis"/>
    <x v="2"/>
    <x v="0"/>
    <n v="961.62"/>
    <n v="8"/>
    <n v="0.2"/>
    <d v="2024-10-12T00:00:00"/>
    <n v="307.72000000000003"/>
    <d v="2026-10-14T20:03:32"/>
    <m/>
    <m/>
    <m/>
  </r>
  <r>
    <s v="CUST008"/>
    <s v="James Wilson"/>
    <x v="1"/>
    <x v="0"/>
    <n v="1081.1400000000001"/>
    <n v="19"/>
    <n v="0.15"/>
    <d v="2024-10-12T00:00:00"/>
    <n v="367.59"/>
    <d v="2026-10-14T20:03:32"/>
    <m/>
    <m/>
    <m/>
  </r>
  <r>
    <s v="CUST015"/>
    <s v="James Wilson"/>
    <x v="0"/>
    <x v="1"/>
    <n v="1923.66"/>
    <n v="9"/>
    <n v="0.2"/>
    <d v="2024-10-15T00:00:00"/>
    <n v="769.46"/>
    <d v="2026-10-14T20:03:32"/>
    <m/>
    <m/>
    <m/>
  </r>
  <r>
    <s v="CUST025"/>
    <s v="Emma Taylor"/>
    <x v="4"/>
    <x v="1"/>
    <n v="728.71"/>
    <n v="14"/>
    <n v="0.1"/>
    <d v="2024-10-16T00:00:00"/>
    <n v="327.92"/>
    <d v="2026-10-14T20:03:32"/>
    <m/>
    <m/>
    <m/>
  </r>
  <r>
    <s v="CUST019"/>
    <s v="Linda Jackson"/>
    <x v="4"/>
    <x v="1"/>
    <n v="1301.8900000000001"/>
    <n v="7"/>
    <n v="0.15"/>
    <d v="2024-10-16T00:00:00"/>
    <n v="553.29999999999995"/>
    <d v="2026-10-14T20:03:32"/>
    <m/>
    <m/>
    <m/>
  </r>
  <r>
    <s v="CUST024"/>
    <s v="Emma Taylor"/>
    <x v="1"/>
    <x v="0"/>
    <n v="980.18"/>
    <n v="16"/>
    <n v="0.1"/>
    <d v="2024-10-17T00:00:00"/>
    <n v="352.86"/>
    <d v="2026-10-14T20:03:32"/>
    <m/>
    <m/>
    <m/>
  </r>
  <r>
    <s v="CUST027"/>
    <s v="James Wilson"/>
    <x v="0"/>
    <x v="1"/>
    <n v="697.57"/>
    <n v="17"/>
    <n v="0.1"/>
    <d v="2024-10-19T00:00:00"/>
    <n v="313.91000000000003"/>
    <d v="2026-10-14T20:03:32"/>
    <m/>
    <m/>
    <m/>
  </r>
  <r>
    <s v="CUST006"/>
    <s v="David Anderson"/>
    <x v="0"/>
    <x v="3"/>
    <n v="1193.6099999999999"/>
    <n v="1"/>
    <n v="0.15"/>
    <d v="2024-10-19T00:00:00"/>
    <n v="355.1"/>
    <d v="2026-10-14T20:03:32"/>
    <m/>
    <m/>
    <m/>
  </r>
  <r>
    <s v="CUST009"/>
    <s v="Emma Davis"/>
    <x v="2"/>
    <x v="2"/>
    <n v="771.02"/>
    <n v="1"/>
    <n v="0"/>
    <d v="2024-10-20T00:00:00"/>
    <n v="192.76"/>
    <d v="2026-10-14T20:03:32"/>
    <m/>
    <m/>
    <m/>
  </r>
  <r>
    <s v="CUST003"/>
    <s v="Linda Moore"/>
    <x v="3"/>
    <x v="1"/>
    <n v="661.09"/>
    <n v="1"/>
    <n v="0.2"/>
    <d v="2024-10-28T00:00:00"/>
    <n v="264.44"/>
    <d v="2026-10-14T20:03:32"/>
    <m/>
    <m/>
    <m/>
  </r>
  <r>
    <s v="CUST012"/>
    <s v="David Brown"/>
    <x v="0"/>
    <x v="2"/>
    <n v="688.83"/>
    <n v="15"/>
    <n v="0"/>
    <d v="2024-10-30T00:00:00"/>
    <n v="172.21"/>
    <d v="2026-10-14T20:03:32"/>
    <m/>
    <m/>
    <m/>
  </r>
  <r>
    <s v="CUST013"/>
    <s v="Linda Wilson"/>
    <x v="4"/>
    <x v="0"/>
    <n v="1249.0999999999999"/>
    <n v="4"/>
    <n v="0.05"/>
    <d v="2024-11-01T00:00:00"/>
    <n v="474.66"/>
    <d v="2026-10-14T20:03:32"/>
    <m/>
    <m/>
    <m/>
  </r>
  <r>
    <s v="CUST008"/>
    <s v="James Wilson"/>
    <x v="1"/>
    <x v="4"/>
    <n v="1014.22"/>
    <n v="14"/>
    <n v="0.05"/>
    <d v="2024-11-03T00:00:00"/>
    <n v="433.58"/>
    <d v="2026-10-14T20:03:32"/>
    <m/>
    <m/>
    <m/>
  </r>
  <r>
    <s v="CUST025"/>
    <s v="Lisa Davis"/>
    <x v="1"/>
    <x v="0"/>
    <n v="1010.58"/>
    <n v="2"/>
    <n v="0.15"/>
    <d v="2024-11-09T00:00:00"/>
    <n v="343.6"/>
    <d v="2026-10-14T20:03:32"/>
    <m/>
    <m/>
    <m/>
  </r>
  <r>
    <s v="CUST026"/>
    <s v="Mary Wilson"/>
    <x v="3"/>
    <x v="3"/>
    <n v="957.29"/>
    <n v="4"/>
    <n v="0.05"/>
    <d v="2024-11-09T00:00:00"/>
    <n v="318.3"/>
    <d v="2026-10-14T20:03:32"/>
    <m/>
    <m/>
    <m/>
  </r>
  <r>
    <s v="CUST001"/>
    <s v="Lisa Thomas"/>
    <x v="3"/>
    <x v="3"/>
    <n v="1077.92"/>
    <n v="3"/>
    <n v="0.05"/>
    <d v="2024-11-12T00:00:00"/>
    <n v="358.41"/>
    <d v="2026-10-14T20:03:32"/>
    <m/>
    <m/>
    <m/>
  </r>
  <r>
    <s v="CUST028"/>
    <s v="Linda Brown"/>
    <x v="2"/>
    <x v="1"/>
    <n v="1163.01"/>
    <n v="5"/>
    <n v="0"/>
    <d v="2024-11-15T00:00:00"/>
    <n v="581.5"/>
    <d v="2026-10-14T20:03:32"/>
    <m/>
    <m/>
    <m/>
  </r>
  <r>
    <s v="CUST025"/>
    <s v="Lisa Thomas"/>
    <x v="1"/>
    <x v="4"/>
    <n v="1014.56"/>
    <n v="10"/>
    <n v="0.1"/>
    <d v="2024-11-16T00:00:00"/>
    <n v="410.9"/>
    <d v="2026-10-14T20:03:32"/>
    <m/>
    <m/>
    <m/>
  </r>
  <r>
    <s v="CUST019"/>
    <s v="James Taylor"/>
    <x v="2"/>
    <x v="2"/>
    <n v="718.04"/>
    <n v="14"/>
    <n v="0"/>
    <d v="2024-11-17T00:00:00"/>
    <n v="179.51"/>
    <d v="2026-10-14T20:03:32"/>
    <m/>
    <m/>
    <m/>
  </r>
  <r>
    <s v="CUST004"/>
    <s v="James Taylor"/>
    <x v="4"/>
    <x v="1"/>
    <n v="1277.8499999999999"/>
    <n v="18"/>
    <n v="0.2"/>
    <d v="2024-11-17T00:00:00"/>
    <n v="511.14"/>
    <d v="2026-10-14T20:03:32"/>
    <m/>
    <m/>
    <m/>
  </r>
  <r>
    <s v="CUST024"/>
    <s v="James Wilson"/>
    <x v="3"/>
    <x v="2"/>
    <n v="706.73"/>
    <n v="1"/>
    <n v="0.15"/>
    <d v="2024-11-17T00:00:00"/>
    <n v="150.18"/>
    <d v="2026-10-14T20:03:32"/>
    <m/>
    <m/>
    <m/>
  </r>
  <r>
    <s v="CUST002"/>
    <s v="Linda Brown"/>
    <x v="1"/>
    <x v="2"/>
    <n v="1410.59"/>
    <n v="15"/>
    <n v="0"/>
    <d v="2024-11-19T00:00:00"/>
    <n v="352.65"/>
    <d v="2026-10-14T20:03:32"/>
    <m/>
    <m/>
    <m/>
  </r>
  <r>
    <s v="CUST009"/>
    <s v="Emma Wilson"/>
    <x v="2"/>
    <x v="3"/>
    <n v="1350.33"/>
    <n v="10"/>
    <n v="0"/>
    <d v="2024-11-19T00:00:00"/>
    <n v="472.62"/>
    <d v="2026-10-14T20:03:32"/>
    <m/>
    <m/>
    <m/>
  </r>
  <r>
    <s v="CUST029"/>
    <s v="Lisa Thomas"/>
    <x v="1"/>
    <x v="2"/>
    <n v="919.18"/>
    <n v="4"/>
    <n v="0.15"/>
    <d v="2024-11-19T00:00:00"/>
    <n v="195.33"/>
    <d v="2026-10-14T20:03:32"/>
    <m/>
    <m/>
    <m/>
  </r>
  <r>
    <s v="CUST027"/>
    <s v="James Wilson"/>
    <x v="0"/>
    <x v="2"/>
    <n v="258.51"/>
    <n v="19"/>
    <n v="0"/>
    <d v="2024-11-20T00:00:00"/>
    <n v="64.63"/>
    <d v="2026-10-14T20:03:32"/>
    <m/>
    <m/>
    <m/>
  </r>
  <r>
    <s v="CUST011"/>
    <s v="Emma Wilson"/>
    <x v="1"/>
    <x v="0"/>
    <n v="1213.48"/>
    <n v="5"/>
    <n v="0.05"/>
    <d v="2024-11-20T00:00:00"/>
    <n v="461.12"/>
    <d v="2026-10-14T20:03:32"/>
    <m/>
    <m/>
    <m/>
  </r>
  <r>
    <s v="CUST021"/>
    <s v="Emma Davis"/>
    <x v="4"/>
    <x v="0"/>
    <n v="1150.28"/>
    <n v="8"/>
    <n v="0.05"/>
    <d v="2024-11-26T00:00:00"/>
    <n v="437.11"/>
    <d v="2026-10-14T20:03:32"/>
    <m/>
    <m/>
    <m/>
  </r>
  <r>
    <s v="CUST014"/>
    <s v="David Anderson"/>
    <x v="2"/>
    <x v="3"/>
    <n v="853.86"/>
    <n v="8"/>
    <n v="0.1"/>
    <d v="2024-11-26T00:00:00"/>
    <n v="268.97000000000003"/>
    <d v="2026-10-14T20:03:32"/>
    <m/>
    <m/>
    <m/>
  </r>
  <r>
    <s v="CUST018"/>
    <s v="Lisa Thomas"/>
    <x v="2"/>
    <x v="2"/>
    <n v="1061.04"/>
    <n v="1"/>
    <n v="0"/>
    <d v="2024-11-28T00:00:00"/>
    <n v="265.26"/>
    <d v="2026-10-14T20:03:32"/>
    <m/>
    <m/>
    <m/>
  </r>
  <r>
    <s v="CUST001"/>
    <s v="Sarah Anderson"/>
    <x v="0"/>
    <x v="2"/>
    <n v="894.55"/>
    <n v="19"/>
    <n v="0.2"/>
    <d v="2024-11-29T00:00:00"/>
    <n v="178.91"/>
    <d v="2026-10-14T20:03:32"/>
    <m/>
    <m/>
    <m/>
  </r>
  <r>
    <s v="CUST007"/>
    <s v="Emma Davis"/>
    <x v="3"/>
    <x v="4"/>
    <n v="833.91"/>
    <n v="3"/>
    <n v="0.05"/>
    <d v="2024-11-30T00:00:00"/>
    <n v="356.5"/>
    <d v="2026-10-14T20:03:32"/>
    <m/>
    <m/>
    <m/>
  </r>
  <r>
    <s v="CUST015"/>
    <s v="David Anderson"/>
    <x v="0"/>
    <x v="3"/>
    <n v="820.19"/>
    <n v="4"/>
    <n v="0.2"/>
    <d v="2024-12-04T00:00:00"/>
    <n v="229.65"/>
    <d v="2026-10-14T20:03:32"/>
    <m/>
    <m/>
    <m/>
  </r>
  <r>
    <s v="CUST015"/>
    <s v="Emma Davis"/>
    <x v="4"/>
    <x v="2"/>
    <n v="511.74"/>
    <n v="8"/>
    <n v="0.05"/>
    <d v="2024-12-05T00:00:00"/>
    <n v="121.54"/>
    <d v="2026-10-14T20:03:32"/>
    <m/>
    <m/>
    <m/>
  </r>
  <r>
    <s v="CUST002"/>
    <s v="Emma Wilson"/>
    <x v="2"/>
    <x v="3"/>
    <n v="806.03"/>
    <n v="19"/>
    <n v="0.05"/>
    <d v="2024-12-12T00:00:00"/>
    <n v="268"/>
    <d v="2026-10-14T20:03:32"/>
    <m/>
    <m/>
    <m/>
  </r>
  <r>
    <s v="CUST001"/>
    <s v="Michael Anderson"/>
    <x v="4"/>
    <x v="3"/>
    <n v="1432.47"/>
    <n v="16"/>
    <n v="0.15"/>
    <d v="2024-12-14T00:00:00"/>
    <n v="426.16"/>
    <d v="2026-10-14T20:03:32"/>
    <m/>
    <m/>
    <m/>
  </r>
  <r>
    <s v="CUST027"/>
    <s v="Linda Wilson"/>
    <x v="4"/>
    <x v="2"/>
    <n v="1488.58"/>
    <n v="10"/>
    <n v="0.15"/>
    <d v="2024-12-14T00:00:00"/>
    <n v="316.32"/>
    <d v="2026-10-14T20:03:32"/>
    <m/>
    <m/>
    <m/>
  </r>
  <r>
    <s v="CUST026"/>
    <s v="Emma Taylor"/>
    <x v="1"/>
    <x v="0"/>
    <n v="1231.26"/>
    <n v="9"/>
    <n v="0"/>
    <d v="2024-12-20T00:00:00"/>
    <n v="492.5"/>
    <d v="2026-10-14T20:03:32"/>
    <m/>
    <m/>
    <m/>
  </r>
  <r>
    <s v="CUST026"/>
    <s v="Sarah Anderson"/>
    <x v="0"/>
    <x v="2"/>
    <n v="1161.67"/>
    <n v="19"/>
    <n v="0.2"/>
    <d v="2024-12-21T00:00:00"/>
    <n v="232.33"/>
    <d v="2026-10-14T20:03:32"/>
    <m/>
    <m/>
    <m/>
  </r>
  <r>
    <s v="CUST022"/>
    <s v="Lisa Thomas"/>
    <x v="4"/>
    <x v="4"/>
    <n v="388.23"/>
    <n v="16"/>
    <n v="0.05"/>
    <d v="2024-12-24T00:00:00"/>
    <n v="165.97"/>
    <d v="2026-10-14T20:03:32"/>
    <m/>
    <m/>
    <m/>
  </r>
  <r>
    <s v="CUST004"/>
    <s v="Mary Davis"/>
    <x v="3"/>
    <x v="1"/>
    <n v="1589.42"/>
    <n v="6"/>
    <n v="0.15"/>
    <d v="2024-12-25T00:00:00"/>
    <n v="675.5"/>
    <d v="2026-10-14T20:03:32"/>
    <m/>
    <m/>
    <m/>
  </r>
  <r>
    <s v="CUST001"/>
    <s v="David Anderson"/>
    <x v="3"/>
    <x v="1"/>
    <n v="336.66"/>
    <n v="13"/>
    <n v="0.2"/>
    <d v="2024-12-25T00:00:00"/>
    <n v="134.66"/>
    <d v="2026-10-14T20:03:32"/>
    <m/>
    <m/>
    <m/>
  </r>
  <r>
    <s v="CUST022"/>
    <s v="James Wilson"/>
    <x v="0"/>
    <x v="0"/>
    <n v="1353.79"/>
    <n v="14"/>
    <n v="0.1"/>
    <d v="2024-12-30T00:00:00"/>
    <n v="487.36"/>
    <d v="2026-10-14T20:03:32"/>
    <m/>
    <m/>
    <m/>
  </r>
  <r>
    <s v="CUST011"/>
    <s v="Linda Moore"/>
    <x v="4"/>
    <x v="1"/>
    <n v="662.61"/>
    <n v="11"/>
    <n v="0.05"/>
    <d v="2025-01-01T00:00:00"/>
    <n v="314.74"/>
    <d v="2026-10-14T20:03:32"/>
    <m/>
    <m/>
    <m/>
  </r>
  <r>
    <s v="CUST028"/>
    <s v="Lisa Davis"/>
    <x v="3"/>
    <x v="4"/>
    <n v="309.42"/>
    <n v="1"/>
    <n v="0.2"/>
    <d v="2025-01-01T00:00:00"/>
    <n v="111.39"/>
    <d v="2026-10-14T20:03:32"/>
    <m/>
    <m/>
    <m/>
  </r>
  <r>
    <s v="CUST011"/>
    <s v="Linda Wilson"/>
    <x v="3"/>
    <x v="0"/>
    <n v="884.63"/>
    <n v="18"/>
    <n v="0.1"/>
    <d v="2025-01-02T00:00:00"/>
    <n v="318.47000000000003"/>
    <d v="2026-10-14T20:03:32"/>
    <m/>
    <m/>
    <m/>
  </r>
  <r>
    <s v="CUST028"/>
    <s v="James Wilson"/>
    <x v="4"/>
    <x v="4"/>
    <n v="745.05"/>
    <n v="10"/>
    <n v="0.1"/>
    <d v="2025-01-03T00:00:00"/>
    <n v="301.75"/>
    <d v="2026-10-14T20:03:32"/>
    <m/>
    <m/>
    <m/>
  </r>
  <r>
    <s v="CUST016"/>
    <s v="James Taylor"/>
    <x v="2"/>
    <x v="1"/>
    <n v="870.23"/>
    <n v="5"/>
    <n v="0.05"/>
    <d v="2025-01-03T00:00:00"/>
    <n v="413.36"/>
    <d v="2026-10-14T20:03:32"/>
    <m/>
    <m/>
    <m/>
  </r>
  <r>
    <s v="CUST010"/>
    <s v="Linda Wilson"/>
    <x v="0"/>
    <x v="3"/>
    <n v="862.19"/>
    <n v="18"/>
    <n v="0.05"/>
    <d v="2025-01-06T00:00:00"/>
    <n v="286.68"/>
    <d v="2026-10-14T20:03:32"/>
    <m/>
    <m/>
    <m/>
  </r>
  <r>
    <s v="CUST013"/>
    <s v="Mary Wilson"/>
    <x v="3"/>
    <x v="1"/>
    <n v="1171.18"/>
    <n v="19"/>
    <n v="0.05"/>
    <d v="2025-01-10T00:00:00"/>
    <n v="556.30999999999995"/>
    <d v="2026-10-14T20:03:32"/>
    <m/>
    <m/>
    <m/>
  </r>
  <r>
    <s v="CUST015"/>
    <s v="Robert Anderson"/>
    <x v="2"/>
    <x v="3"/>
    <n v="1054.56"/>
    <n v="11"/>
    <n v="0.1"/>
    <d v="2025-01-12T00:00:00"/>
    <n v="332.19"/>
    <d v="2026-10-14T20:03:32"/>
    <m/>
    <m/>
    <m/>
  </r>
  <r>
    <s v="CUST015"/>
    <s v="James Wilson"/>
    <x v="3"/>
    <x v="2"/>
    <n v="1681.21"/>
    <n v="5"/>
    <n v="0.2"/>
    <d v="2025-01-13T00:00:00"/>
    <n v="336.24"/>
    <d v="2026-10-14T20:03:32"/>
    <m/>
    <m/>
    <m/>
  </r>
  <r>
    <s v="CUST015"/>
    <s v="David Thomas"/>
    <x v="0"/>
    <x v="1"/>
    <n v="379.77"/>
    <n v="9"/>
    <n v="0.05"/>
    <d v="2025-01-16T00:00:00"/>
    <n v="180.39"/>
    <d v="2026-10-14T20:03:32"/>
    <m/>
    <m/>
    <m/>
  </r>
  <r>
    <s v="CUST008"/>
    <s v="Lisa Thomas"/>
    <x v="4"/>
    <x v="1"/>
    <n v="1076.33"/>
    <n v="2"/>
    <n v="0.1"/>
    <d v="2025-01-17T00:00:00"/>
    <n v="484.35"/>
    <d v="2026-10-14T20:03:32"/>
    <m/>
    <m/>
    <m/>
  </r>
  <r>
    <s v="CUST008"/>
    <s v="Mary Davis"/>
    <x v="4"/>
    <x v="4"/>
    <n v="1250.71"/>
    <n v="7"/>
    <n v="0"/>
    <d v="2025-01-17T00:00:00"/>
    <n v="562.82000000000005"/>
    <d v="2026-10-14T20:03:32"/>
    <m/>
    <m/>
    <m/>
  </r>
  <r>
    <s v="CUST023"/>
    <s v="James Taylor"/>
    <x v="2"/>
    <x v="1"/>
    <n v="1118.3399999999999"/>
    <n v="6"/>
    <n v="0.2"/>
    <d v="2025-01-17T00:00:00"/>
    <n v="447.34"/>
    <d v="2026-10-14T20:03:32"/>
    <m/>
    <m/>
    <m/>
  </r>
  <r>
    <s v="CUST024"/>
    <s v="Linda Taylor"/>
    <x v="3"/>
    <x v="1"/>
    <n v="1622.62"/>
    <n v="12"/>
    <n v="0.2"/>
    <d v="2025-01-20T00:00:00"/>
    <n v="649.04999999999995"/>
    <d v="2026-10-14T20:03:32"/>
    <m/>
    <m/>
    <m/>
  </r>
  <r>
    <s v="CUST018"/>
    <s v="Lisa Davis"/>
    <x v="3"/>
    <x v="0"/>
    <n v="640.64"/>
    <n v="11"/>
    <n v="0.2"/>
    <d v="2025-01-21T00:00:00"/>
    <n v="205"/>
    <d v="2026-10-14T20:03:32"/>
    <m/>
    <m/>
    <m/>
  </r>
  <r>
    <s v="CUST030"/>
    <s v="Sarah Anderson"/>
    <x v="0"/>
    <x v="1"/>
    <n v="585.16"/>
    <n v="17"/>
    <n v="0.1"/>
    <d v="2025-01-27T00:00:00"/>
    <n v="263.32"/>
    <d v="2026-10-14T20:03:32"/>
    <m/>
    <m/>
    <m/>
  </r>
  <r>
    <s v="CUST030"/>
    <s v="Mary Davis"/>
    <x v="1"/>
    <x v="1"/>
    <n v="1109.98"/>
    <n v="5"/>
    <n v="0.2"/>
    <d v="2025-02-02T00:00:00"/>
    <n v="443.99"/>
    <d v="2026-10-14T20:03:32"/>
    <m/>
    <m/>
    <m/>
  </r>
  <r>
    <s v="CUST015"/>
    <s v="Lisa Thomas"/>
    <x v="1"/>
    <x v="0"/>
    <n v="1098.08"/>
    <n v="9"/>
    <n v="0.1"/>
    <d v="2025-02-04T00:00:00"/>
    <n v="395.31"/>
    <d v="2026-10-14T20:03:32"/>
    <m/>
    <m/>
    <m/>
  </r>
  <r>
    <s v="CUST002"/>
    <s v="Lisa Davis"/>
    <x v="0"/>
    <x v="4"/>
    <n v="827.25"/>
    <n v="7"/>
    <n v="0.1"/>
    <d v="2025-02-05T00:00:00"/>
    <n v="335.04"/>
    <d v="2026-10-14T20:03:32"/>
    <m/>
    <m/>
    <m/>
  </r>
  <r>
    <s v="CUST024"/>
    <s v="Linda Wilson"/>
    <x v="4"/>
    <x v="1"/>
    <n v="741.88"/>
    <n v="16"/>
    <n v="0.1"/>
    <d v="2025-02-07T00:00:00"/>
    <n v="333.85"/>
    <d v="2026-10-14T20:03:32"/>
    <m/>
    <m/>
    <m/>
  </r>
  <r>
    <s v="CUST004"/>
    <s v="James Davis"/>
    <x v="1"/>
    <x v="4"/>
    <n v="1311.26"/>
    <n v="6"/>
    <n v="0.1"/>
    <d v="2025-02-10T00:00:00"/>
    <n v="531.05999999999995"/>
    <d v="2026-10-14T20:03:32"/>
    <m/>
    <m/>
    <m/>
  </r>
  <r>
    <s v="CUST004"/>
    <s v="Mary Davis"/>
    <x v="2"/>
    <x v="4"/>
    <n v="573.32000000000005"/>
    <n v="19"/>
    <n v="0.1"/>
    <d v="2025-02-15T00:00:00"/>
    <n v="232.19"/>
    <d v="2026-10-14T20:03:32"/>
    <m/>
    <m/>
    <m/>
  </r>
  <r>
    <s v="CUST028"/>
    <s v="James Wilson"/>
    <x v="0"/>
    <x v="2"/>
    <n v="1115.22"/>
    <n v="14"/>
    <n v="0.2"/>
    <d v="2025-02-17T00:00:00"/>
    <n v="223.04"/>
    <d v="2026-10-14T20:03:32"/>
    <m/>
    <m/>
    <m/>
  </r>
  <r>
    <s v="CUST012"/>
    <s v="Lisa Thomas"/>
    <x v="3"/>
    <x v="1"/>
    <n v="845.84"/>
    <n v="4"/>
    <n v="0"/>
    <d v="2025-02-19T00:00:00"/>
    <n v="422.92"/>
    <d v="2026-10-14T20:03:32"/>
    <m/>
    <m/>
    <m/>
  </r>
  <r>
    <s v="CUST026"/>
    <s v="David Brown"/>
    <x v="0"/>
    <x v="2"/>
    <n v="1029.8"/>
    <n v="3"/>
    <n v="0"/>
    <d v="2025-02-20T00:00:00"/>
    <n v="257.45"/>
    <d v="2026-10-14T20:03:32"/>
    <m/>
    <m/>
    <m/>
  </r>
  <r>
    <s v="CUST009"/>
    <s v="Mary Davis"/>
    <x v="3"/>
    <x v="0"/>
    <n v="1189.83"/>
    <n v="2"/>
    <n v="0.2"/>
    <d v="2025-02-21T00:00:00"/>
    <n v="380.75"/>
    <d v="2026-10-14T20:03:32"/>
    <m/>
    <m/>
    <m/>
  </r>
  <r>
    <s v="CUST003"/>
    <s v="Sarah Anderson"/>
    <x v="2"/>
    <x v="0"/>
    <n v="704.28"/>
    <n v="15"/>
    <n v="0.2"/>
    <d v="2025-02-24T00:00:00"/>
    <n v="225.37"/>
    <d v="2026-10-14T20:03:32"/>
    <m/>
    <m/>
    <m/>
  </r>
  <r>
    <s v="CUST002"/>
    <s v="Mary Jackson"/>
    <x v="4"/>
    <x v="4"/>
    <n v="1618.22"/>
    <n v="12"/>
    <n v="0.2"/>
    <d v="2025-02-24T00:00:00"/>
    <n v="582.55999999999995"/>
    <d v="2026-10-14T20:03:32"/>
    <m/>
    <m/>
    <m/>
  </r>
  <r>
    <s v="CUST013"/>
    <s v="Linda Taylor"/>
    <x v="4"/>
    <x v="0"/>
    <n v="1014.43"/>
    <n v="2"/>
    <n v="0.15"/>
    <d v="2025-02-25T00:00:00"/>
    <n v="344.91"/>
    <d v="2026-10-14T20:03:32"/>
    <m/>
    <m/>
    <m/>
  </r>
  <r>
    <s v="CUST018"/>
    <s v="Mary Davis"/>
    <x v="4"/>
    <x v="1"/>
    <n v="826.97"/>
    <n v="18"/>
    <n v="0.2"/>
    <d v="2025-02-27T00:00:00"/>
    <n v="330.79"/>
    <d v="2026-10-14T20:03:32"/>
    <m/>
    <m/>
    <m/>
  </r>
  <r>
    <s v="CUST017"/>
    <s v="Mary Davis"/>
    <x v="4"/>
    <x v="1"/>
    <n v="1022.23"/>
    <n v="8"/>
    <n v="0.1"/>
    <d v="2025-03-01T00:00:00"/>
    <n v="460"/>
    <d v="2026-10-14T20:03:32"/>
    <m/>
    <m/>
    <m/>
  </r>
  <r>
    <s v="CUST004"/>
    <s v="Linda Wilson"/>
    <x v="1"/>
    <x v="0"/>
    <n v="1099.69"/>
    <n v="6"/>
    <n v="0"/>
    <d v="2025-03-02T00:00:00"/>
    <n v="439.88"/>
    <d v="2026-10-14T20:03:32"/>
    <m/>
    <m/>
    <m/>
  </r>
  <r>
    <s v="CUST028"/>
    <s v="Sarah Davis"/>
    <x v="3"/>
    <x v="0"/>
    <n v="710.52"/>
    <n v="8"/>
    <n v="0.1"/>
    <d v="2025-03-05T00:00:00"/>
    <n v="255.79"/>
    <d v="2026-10-14T20:03:32"/>
    <m/>
    <m/>
    <m/>
  </r>
  <r>
    <s v="CUST028"/>
    <s v="Mary Wilson"/>
    <x v="3"/>
    <x v="0"/>
    <n v="499.18"/>
    <n v="15"/>
    <n v="0.2"/>
    <d v="2025-03-08T00:00:00"/>
    <n v="159.74"/>
    <d v="2026-10-14T20:03:32"/>
    <m/>
    <m/>
    <m/>
  </r>
  <r>
    <s v="CUST014"/>
    <s v="Emma Davis"/>
    <x v="2"/>
    <x v="0"/>
    <n v="1064.19"/>
    <n v="18"/>
    <n v="0.05"/>
    <d v="2025-03-09T00:00:00"/>
    <n v="404.39"/>
    <d v="2026-10-14T20:03:32"/>
    <m/>
    <m/>
    <m/>
  </r>
  <r>
    <s v="CUST003"/>
    <s v="Emma Davis"/>
    <x v="1"/>
    <x v="4"/>
    <n v="438.76"/>
    <n v="18"/>
    <n v="0.05"/>
    <d v="2025-03-10T00:00:00"/>
    <n v="187.57"/>
    <d v="2026-10-14T20:03:32"/>
    <m/>
    <m/>
    <m/>
  </r>
  <r>
    <s v="CUST029"/>
    <s v="David Brown"/>
    <x v="0"/>
    <x v="1"/>
    <n v="864.98"/>
    <n v="2"/>
    <n v="0.05"/>
    <d v="2025-03-11T00:00:00"/>
    <n v="410.87"/>
    <d v="2026-10-14T20:03:32"/>
    <m/>
    <m/>
    <m/>
  </r>
  <r>
    <s v="CUST021"/>
    <s v="David Brown"/>
    <x v="0"/>
    <x v="3"/>
    <n v="984.93"/>
    <n v="14"/>
    <n v="0.2"/>
    <d v="2025-03-17T00:00:00"/>
    <n v="275.77999999999997"/>
    <d v="2026-10-14T20:03:32"/>
    <m/>
    <m/>
    <m/>
  </r>
  <r>
    <s v="CUST007"/>
    <s v="David Brown"/>
    <x v="0"/>
    <x v="1"/>
    <n v="1493.49"/>
    <n v="18"/>
    <n v="0"/>
    <d v="2025-03-18T00:00:00"/>
    <n v="746.74"/>
    <d v="2026-10-14T20:03:32"/>
    <m/>
    <m/>
    <m/>
  </r>
  <r>
    <s v="CUST009"/>
    <s v="Linda Taylor"/>
    <x v="2"/>
    <x v="1"/>
    <n v="689.43"/>
    <n v="9"/>
    <n v="0.1"/>
    <d v="2025-03-20T00:00:00"/>
    <n v="310.24"/>
    <d v="2026-10-14T20:03:32"/>
    <m/>
    <m/>
    <m/>
  </r>
  <r>
    <s v="CUST023"/>
    <s v="Mary Wilson"/>
    <x v="2"/>
    <x v="1"/>
    <n v="682.24"/>
    <n v="1"/>
    <n v="0"/>
    <d v="2025-03-22T00:00:00"/>
    <n v="341.12"/>
    <d v="2026-10-14T20:03:32"/>
    <m/>
    <m/>
    <m/>
  </r>
  <r>
    <s v="CUST029"/>
    <s v="Michael Anderson"/>
    <x v="3"/>
    <x v="2"/>
    <n v="458.54"/>
    <n v="15"/>
    <n v="0.2"/>
    <d v="2025-03-25T00:00:00"/>
    <n v="91.71"/>
    <d v="2026-10-14T20:03:32"/>
    <m/>
    <m/>
    <m/>
  </r>
  <r>
    <s v="CUST009"/>
    <s v="Michael Anderson"/>
    <x v="2"/>
    <x v="3"/>
    <n v="1184.25"/>
    <n v="11"/>
    <n v="0.2"/>
    <d v="2025-03-26T00:00:00"/>
    <n v="331.59"/>
    <d v="2026-10-14T20:03:32"/>
    <m/>
    <m/>
    <m/>
  </r>
  <r>
    <s v="CUST007"/>
    <s v="James Davis"/>
    <x v="2"/>
    <x v="1"/>
    <n v="762.14"/>
    <n v="9"/>
    <n v="0"/>
    <d v="2025-03-27T00:00:00"/>
    <n v="381.07"/>
    <d v="2026-10-14T20:03:32"/>
    <m/>
    <m/>
    <m/>
  </r>
  <r>
    <s v="CUST030"/>
    <s v="Linda Taylor"/>
    <x v="3"/>
    <x v="0"/>
    <n v="750.71"/>
    <n v="10"/>
    <n v="0.15"/>
    <d v="2025-03-27T00:00:00"/>
    <n v="255.24"/>
    <d v="2026-10-14T20:03:32"/>
    <m/>
    <m/>
    <m/>
  </r>
  <r>
    <s v="CUST018"/>
    <s v="David Anderson"/>
    <x v="4"/>
    <x v="1"/>
    <n v="1456.94"/>
    <n v="14"/>
    <n v="0.05"/>
    <d v="2025-03-29T00:00:00"/>
    <n v="692.05"/>
    <d v="2026-10-14T20:03:32"/>
    <m/>
    <m/>
    <m/>
  </r>
  <r>
    <s v="CUST008"/>
    <s v="Emma Wilson"/>
    <x v="1"/>
    <x v="3"/>
    <n v="1093.3800000000001"/>
    <n v="17"/>
    <n v="0.1"/>
    <d v="2025-03-29T00:00:00"/>
    <n v="344.41"/>
    <d v="2026-10-14T20:03:32"/>
    <m/>
    <m/>
    <m/>
  </r>
  <r>
    <s v="CUST014"/>
    <s v="Sarah Anderson"/>
    <x v="0"/>
    <x v="1"/>
    <n v="934.27"/>
    <n v="8"/>
    <n v="0.15"/>
    <d v="2025-03-30T00:00:00"/>
    <n v="397.06"/>
    <d v="2026-10-14T20:03:32"/>
    <m/>
    <m/>
    <m/>
  </r>
  <r>
    <s v="CUST024"/>
    <s v="David Thomas"/>
    <x v="4"/>
    <x v="1"/>
    <n v="1465.35"/>
    <n v="8"/>
    <n v="0.2"/>
    <d v="2025-03-30T00:00:00"/>
    <n v="586.14"/>
    <d v="2026-10-14T20:03:32"/>
    <m/>
    <m/>
    <m/>
  </r>
  <r>
    <s v="CUST028"/>
    <s v="Robert Anderson"/>
    <x v="2"/>
    <x v="4"/>
    <n v="740.8"/>
    <n v="3"/>
    <n v="0"/>
    <d v="2025-04-02T00:00:00"/>
    <n v="333.36"/>
    <d v="2026-10-14T20:03:32"/>
    <m/>
    <m/>
    <m/>
  </r>
  <r>
    <s v="CUST015"/>
    <s v="Sarah Anderson"/>
    <x v="0"/>
    <x v="4"/>
    <n v="545.44000000000005"/>
    <n v="17"/>
    <n v="0"/>
    <d v="2025-04-05T00:00:00"/>
    <n v="245.45"/>
    <d v="2026-10-14T20:03:32"/>
    <m/>
    <m/>
    <m/>
  </r>
  <r>
    <s v="CUST010"/>
    <s v="David Thomas"/>
    <x v="1"/>
    <x v="0"/>
    <n v="997.61"/>
    <n v="8"/>
    <n v="0.05"/>
    <d v="2025-04-05T00:00:00"/>
    <n v="379.09"/>
    <d v="2026-10-14T20:03:32"/>
    <m/>
    <m/>
    <m/>
  </r>
  <r>
    <s v="CUST016"/>
    <s v="David Thomas"/>
    <x v="2"/>
    <x v="1"/>
    <n v="928.32"/>
    <n v="2"/>
    <n v="0.05"/>
    <d v="2025-04-07T00:00:00"/>
    <n v="440.95"/>
    <d v="2026-10-14T20:03:3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BB5AAD-1219-40C6-B882-52689A8A882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6" firstHeaderRow="1" firstDataRow="1" firstDataCol="1"/>
  <pivotFields count="3">
    <pivotField axis="axisRow" numFmtId="14" showAll="0">
      <items count="15">
        <item x="0"/>
        <item x="1"/>
        <item x="2"/>
        <item x="3"/>
        <item x="4"/>
        <item x="5"/>
        <item x="6"/>
        <item x="7"/>
        <item x="8"/>
        <item x="9"/>
        <item x="10"/>
        <item x="11"/>
        <item x="12"/>
        <item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2"/>
    <field x="1"/>
    <field x="0"/>
  </rowFields>
  <rowItems count="3">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777E1E-B1AA-4F29-8A55-1DBE5434B030}" name="PivotTable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C10" firstHeaderRow="1" firstDataRow="2" firstDataCol="1"/>
  <pivotFields count="13">
    <pivotField showAll="0"/>
    <pivotField showAll="0"/>
    <pivotField axis="axisRow" showAll="0">
      <items count="6">
        <item x="4"/>
        <item x="1"/>
        <item x="3"/>
        <item x="2"/>
        <item x="0"/>
        <item t="default"/>
      </items>
    </pivotField>
    <pivotField axis="axisCol" showAll="0">
      <items count="6">
        <item h="1" x="0"/>
        <item x="1"/>
        <item h="1" x="2"/>
        <item h="1" x="3"/>
        <item h="1" x="4"/>
        <item t="default"/>
      </items>
    </pivotField>
    <pivotField dataField="1" showAll="0"/>
    <pivotField showAll="0"/>
    <pivotField showAll="0"/>
    <pivotField numFmtId="14" showAll="0"/>
    <pivotField showAll="0"/>
    <pivotField numFmtId="22" showAll="0"/>
    <pivotField showAll="0"/>
    <pivotField showAll="0"/>
    <pivotField showAll="0"/>
  </pivotFields>
  <rowFields count="1">
    <field x="2"/>
  </rowFields>
  <rowItems count="6">
    <i>
      <x/>
    </i>
    <i>
      <x v="1"/>
    </i>
    <i>
      <x v="2"/>
    </i>
    <i>
      <x v="3"/>
    </i>
    <i>
      <x v="4"/>
    </i>
    <i t="grand">
      <x/>
    </i>
  </rowItems>
  <colFields count="1">
    <field x="3"/>
  </colFields>
  <colItems count="2">
    <i>
      <x v="1"/>
    </i>
    <i t="grand">
      <x/>
    </i>
  </colItems>
  <dataFields count="1">
    <dataField name="Sum of Sales" fld="4" baseField="0" baseItem="0"/>
  </dataFields>
  <chartFormats count="45">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2"/>
          </reference>
        </references>
      </pivotArea>
    </chartFormat>
    <chartFormat chart="7" format="3" series="1">
      <pivotArea type="data" outline="0" fieldPosition="0">
        <references count="2">
          <reference field="4294967294" count="1" selected="0">
            <x v="0"/>
          </reference>
          <reference field="3" count="1" selected="0">
            <x v="3"/>
          </reference>
        </references>
      </pivotArea>
    </chartFormat>
    <chartFormat chart="7" format="4" series="1">
      <pivotArea type="data" outline="0" fieldPosition="0">
        <references count="2">
          <reference field="4294967294" count="1" selected="0">
            <x v="0"/>
          </reference>
          <reference field="3" count="1" selected="0">
            <x v="4"/>
          </reference>
        </references>
      </pivotArea>
    </chartFormat>
    <chartFormat chart="10" format="10" series="1">
      <pivotArea type="data" outline="0" fieldPosition="0">
        <references count="2">
          <reference field="4294967294" count="1" selected="0">
            <x v="0"/>
          </reference>
          <reference field="3" count="1" selected="0">
            <x v="0"/>
          </reference>
        </references>
      </pivotArea>
    </chartFormat>
    <chartFormat chart="10" format="11" series="1">
      <pivotArea type="data" outline="0" fieldPosition="0">
        <references count="2">
          <reference field="4294967294" count="1" selected="0">
            <x v="0"/>
          </reference>
          <reference field="3" count="1" selected="0">
            <x v="1"/>
          </reference>
        </references>
      </pivotArea>
    </chartFormat>
    <chartFormat chart="10" format="12" series="1">
      <pivotArea type="data" outline="0" fieldPosition="0">
        <references count="2">
          <reference field="4294967294" count="1" selected="0">
            <x v="0"/>
          </reference>
          <reference field="3" count="1" selected="0">
            <x v="2"/>
          </reference>
        </references>
      </pivotArea>
    </chartFormat>
    <chartFormat chart="10" format="13" series="1">
      <pivotArea type="data" outline="0" fieldPosition="0">
        <references count="2">
          <reference field="4294967294" count="1" selected="0">
            <x v="0"/>
          </reference>
          <reference field="3" count="1" selected="0">
            <x v="3"/>
          </reference>
        </references>
      </pivotArea>
    </chartFormat>
    <chartFormat chart="10" format="14" series="1">
      <pivotArea type="data" outline="0" fieldPosition="0">
        <references count="2">
          <reference field="4294967294" count="1" selected="0">
            <x v="0"/>
          </reference>
          <reference field="3" count="1" selected="0">
            <x v="4"/>
          </reference>
        </references>
      </pivotArea>
    </chartFormat>
    <chartFormat chart="11" format="10" series="1">
      <pivotArea type="data" outline="0" fieldPosition="0">
        <references count="2">
          <reference field="4294967294" count="1" selected="0">
            <x v="0"/>
          </reference>
          <reference field="3" count="1" selected="0">
            <x v="0"/>
          </reference>
        </references>
      </pivotArea>
    </chartFormat>
    <chartFormat chart="11" format="11" series="1">
      <pivotArea type="data" outline="0" fieldPosition="0">
        <references count="2">
          <reference field="4294967294" count="1" selected="0">
            <x v="0"/>
          </reference>
          <reference field="3" count="1" selected="0">
            <x v="1"/>
          </reference>
        </references>
      </pivotArea>
    </chartFormat>
    <chartFormat chart="11" format="12" series="1">
      <pivotArea type="data" outline="0" fieldPosition="0">
        <references count="2">
          <reference field="4294967294" count="1" selected="0">
            <x v="0"/>
          </reference>
          <reference field="3" count="1" selected="0">
            <x v="2"/>
          </reference>
        </references>
      </pivotArea>
    </chartFormat>
    <chartFormat chart="11" format="13" series="1">
      <pivotArea type="data" outline="0" fieldPosition="0">
        <references count="2">
          <reference field="4294967294" count="1" selected="0">
            <x v="0"/>
          </reference>
          <reference field="3" count="1" selected="0">
            <x v="3"/>
          </reference>
        </references>
      </pivotArea>
    </chartFormat>
    <chartFormat chart="11" format="14" series="1">
      <pivotArea type="data" outline="0" fieldPosition="0">
        <references count="2">
          <reference field="4294967294" count="1" selected="0">
            <x v="0"/>
          </reference>
          <reference field="3" count="1" selected="0">
            <x v="4"/>
          </reference>
        </references>
      </pivotArea>
    </chartFormat>
    <chartFormat chart="14" format="35" series="1">
      <pivotArea type="data" outline="0" fieldPosition="0">
        <references count="2">
          <reference field="4294967294" count="1" selected="0">
            <x v="0"/>
          </reference>
          <reference field="3" count="1" selected="0">
            <x v="0"/>
          </reference>
        </references>
      </pivotArea>
    </chartFormat>
    <chartFormat chart="14" format="36">
      <pivotArea type="data" outline="0" fieldPosition="0">
        <references count="3">
          <reference field="4294967294" count="1" selected="0">
            <x v="0"/>
          </reference>
          <reference field="2" count="1" selected="0">
            <x v="0"/>
          </reference>
          <reference field="3" count="1" selected="0">
            <x v="0"/>
          </reference>
        </references>
      </pivotArea>
    </chartFormat>
    <chartFormat chart="14" format="37">
      <pivotArea type="data" outline="0" fieldPosition="0">
        <references count="3">
          <reference field="4294967294" count="1" selected="0">
            <x v="0"/>
          </reference>
          <reference field="2" count="1" selected="0">
            <x v="1"/>
          </reference>
          <reference field="3" count="1" selected="0">
            <x v="0"/>
          </reference>
        </references>
      </pivotArea>
    </chartFormat>
    <chartFormat chart="14" format="38">
      <pivotArea type="data" outline="0" fieldPosition="0">
        <references count="3">
          <reference field="4294967294" count="1" selected="0">
            <x v="0"/>
          </reference>
          <reference field="2" count="1" selected="0">
            <x v="2"/>
          </reference>
          <reference field="3" count="1" selected="0">
            <x v="0"/>
          </reference>
        </references>
      </pivotArea>
    </chartFormat>
    <chartFormat chart="14" format="39">
      <pivotArea type="data" outline="0" fieldPosition="0">
        <references count="3">
          <reference field="4294967294" count="1" selected="0">
            <x v="0"/>
          </reference>
          <reference field="2" count="1" selected="0">
            <x v="3"/>
          </reference>
          <reference field="3" count="1" selected="0">
            <x v="0"/>
          </reference>
        </references>
      </pivotArea>
    </chartFormat>
    <chartFormat chart="14" format="40">
      <pivotArea type="data" outline="0" fieldPosition="0">
        <references count="3">
          <reference field="4294967294" count="1" selected="0">
            <x v="0"/>
          </reference>
          <reference field="2" count="1" selected="0">
            <x v="4"/>
          </reference>
          <reference field="3" count="1" selected="0">
            <x v="0"/>
          </reference>
        </references>
      </pivotArea>
    </chartFormat>
    <chartFormat chart="14" format="41" series="1">
      <pivotArea type="data" outline="0" fieldPosition="0">
        <references count="2">
          <reference field="4294967294" count="1" selected="0">
            <x v="0"/>
          </reference>
          <reference field="3" count="1" selected="0">
            <x v="1"/>
          </reference>
        </references>
      </pivotArea>
    </chartFormat>
    <chartFormat chart="14" format="42">
      <pivotArea type="data" outline="0" fieldPosition="0">
        <references count="3">
          <reference field="4294967294" count="1" selected="0">
            <x v="0"/>
          </reference>
          <reference field="2" count="1" selected="0">
            <x v="0"/>
          </reference>
          <reference field="3" count="1" selected="0">
            <x v="1"/>
          </reference>
        </references>
      </pivotArea>
    </chartFormat>
    <chartFormat chart="14" format="43">
      <pivotArea type="data" outline="0" fieldPosition="0">
        <references count="3">
          <reference field="4294967294" count="1" selected="0">
            <x v="0"/>
          </reference>
          <reference field="2" count="1" selected="0">
            <x v="1"/>
          </reference>
          <reference field="3" count="1" selected="0">
            <x v="1"/>
          </reference>
        </references>
      </pivotArea>
    </chartFormat>
    <chartFormat chart="14" format="44">
      <pivotArea type="data" outline="0" fieldPosition="0">
        <references count="3">
          <reference field="4294967294" count="1" selected="0">
            <x v="0"/>
          </reference>
          <reference field="2" count="1" selected="0">
            <x v="2"/>
          </reference>
          <reference field="3" count="1" selected="0">
            <x v="1"/>
          </reference>
        </references>
      </pivotArea>
    </chartFormat>
    <chartFormat chart="14" format="45">
      <pivotArea type="data" outline="0" fieldPosition="0">
        <references count="3">
          <reference field="4294967294" count="1" selected="0">
            <x v="0"/>
          </reference>
          <reference field="2" count="1" selected="0">
            <x v="3"/>
          </reference>
          <reference field="3" count="1" selected="0">
            <x v="1"/>
          </reference>
        </references>
      </pivotArea>
    </chartFormat>
    <chartFormat chart="14" format="46">
      <pivotArea type="data" outline="0" fieldPosition="0">
        <references count="3">
          <reference field="4294967294" count="1" selected="0">
            <x v="0"/>
          </reference>
          <reference field="2" count="1" selected="0">
            <x v="4"/>
          </reference>
          <reference field="3" count="1" selected="0">
            <x v="1"/>
          </reference>
        </references>
      </pivotArea>
    </chartFormat>
    <chartFormat chart="14" format="47" series="1">
      <pivotArea type="data" outline="0" fieldPosition="0">
        <references count="2">
          <reference field="4294967294" count="1" selected="0">
            <x v="0"/>
          </reference>
          <reference field="3" count="1" selected="0">
            <x v="2"/>
          </reference>
        </references>
      </pivotArea>
    </chartFormat>
    <chartFormat chart="14" format="48">
      <pivotArea type="data" outline="0" fieldPosition="0">
        <references count="3">
          <reference field="4294967294" count="1" selected="0">
            <x v="0"/>
          </reference>
          <reference field="2" count="1" selected="0">
            <x v="0"/>
          </reference>
          <reference field="3" count="1" selected="0">
            <x v="2"/>
          </reference>
        </references>
      </pivotArea>
    </chartFormat>
    <chartFormat chart="14" format="49">
      <pivotArea type="data" outline="0" fieldPosition="0">
        <references count="3">
          <reference field="4294967294" count="1" selected="0">
            <x v="0"/>
          </reference>
          <reference field="2" count="1" selected="0">
            <x v="1"/>
          </reference>
          <reference field="3" count="1" selected="0">
            <x v="2"/>
          </reference>
        </references>
      </pivotArea>
    </chartFormat>
    <chartFormat chart="14" format="50">
      <pivotArea type="data" outline="0" fieldPosition="0">
        <references count="3">
          <reference field="4294967294" count="1" selected="0">
            <x v="0"/>
          </reference>
          <reference field="2" count="1" selected="0">
            <x v="2"/>
          </reference>
          <reference field="3" count="1" selected="0">
            <x v="2"/>
          </reference>
        </references>
      </pivotArea>
    </chartFormat>
    <chartFormat chart="14" format="51">
      <pivotArea type="data" outline="0" fieldPosition="0">
        <references count="3">
          <reference field="4294967294" count="1" selected="0">
            <x v="0"/>
          </reference>
          <reference field="2" count="1" selected="0">
            <x v="3"/>
          </reference>
          <reference field="3" count="1" selected="0">
            <x v="2"/>
          </reference>
        </references>
      </pivotArea>
    </chartFormat>
    <chartFormat chart="14" format="52">
      <pivotArea type="data" outline="0" fieldPosition="0">
        <references count="3">
          <reference field="4294967294" count="1" selected="0">
            <x v="0"/>
          </reference>
          <reference field="2" count="1" selected="0">
            <x v="4"/>
          </reference>
          <reference field="3" count="1" selected="0">
            <x v="2"/>
          </reference>
        </references>
      </pivotArea>
    </chartFormat>
    <chartFormat chart="14" format="53" series="1">
      <pivotArea type="data" outline="0" fieldPosition="0">
        <references count="2">
          <reference field="4294967294" count="1" selected="0">
            <x v="0"/>
          </reference>
          <reference field="3" count="1" selected="0">
            <x v="3"/>
          </reference>
        </references>
      </pivotArea>
    </chartFormat>
    <chartFormat chart="14" format="54">
      <pivotArea type="data" outline="0" fieldPosition="0">
        <references count="3">
          <reference field="4294967294" count="1" selected="0">
            <x v="0"/>
          </reference>
          <reference field="2" count="1" selected="0">
            <x v="0"/>
          </reference>
          <reference field="3" count="1" selected="0">
            <x v="3"/>
          </reference>
        </references>
      </pivotArea>
    </chartFormat>
    <chartFormat chart="14" format="55">
      <pivotArea type="data" outline="0" fieldPosition="0">
        <references count="3">
          <reference field="4294967294" count="1" selected="0">
            <x v="0"/>
          </reference>
          <reference field="2" count="1" selected="0">
            <x v="1"/>
          </reference>
          <reference field="3" count="1" selected="0">
            <x v="3"/>
          </reference>
        </references>
      </pivotArea>
    </chartFormat>
    <chartFormat chart="14" format="56">
      <pivotArea type="data" outline="0" fieldPosition="0">
        <references count="3">
          <reference field="4294967294" count="1" selected="0">
            <x v="0"/>
          </reference>
          <reference field="2" count="1" selected="0">
            <x v="2"/>
          </reference>
          <reference field="3" count="1" selected="0">
            <x v="3"/>
          </reference>
        </references>
      </pivotArea>
    </chartFormat>
    <chartFormat chart="14" format="57">
      <pivotArea type="data" outline="0" fieldPosition="0">
        <references count="3">
          <reference field="4294967294" count="1" selected="0">
            <x v="0"/>
          </reference>
          <reference field="2" count="1" selected="0">
            <x v="3"/>
          </reference>
          <reference field="3" count="1" selected="0">
            <x v="3"/>
          </reference>
        </references>
      </pivotArea>
    </chartFormat>
    <chartFormat chart="14" format="58">
      <pivotArea type="data" outline="0" fieldPosition="0">
        <references count="3">
          <reference field="4294967294" count="1" selected="0">
            <x v="0"/>
          </reference>
          <reference field="2" count="1" selected="0">
            <x v="4"/>
          </reference>
          <reference field="3" count="1" selected="0">
            <x v="3"/>
          </reference>
        </references>
      </pivotArea>
    </chartFormat>
    <chartFormat chart="14" format="59" series="1">
      <pivotArea type="data" outline="0" fieldPosition="0">
        <references count="2">
          <reference field="4294967294" count="1" selected="0">
            <x v="0"/>
          </reference>
          <reference field="3" count="1" selected="0">
            <x v="4"/>
          </reference>
        </references>
      </pivotArea>
    </chartFormat>
    <chartFormat chart="14" format="60">
      <pivotArea type="data" outline="0" fieldPosition="0">
        <references count="3">
          <reference field="4294967294" count="1" selected="0">
            <x v="0"/>
          </reference>
          <reference field="2" count="1" selected="0">
            <x v="0"/>
          </reference>
          <reference field="3" count="1" selected="0">
            <x v="4"/>
          </reference>
        </references>
      </pivotArea>
    </chartFormat>
    <chartFormat chart="14" format="61">
      <pivotArea type="data" outline="0" fieldPosition="0">
        <references count="3">
          <reference field="4294967294" count="1" selected="0">
            <x v="0"/>
          </reference>
          <reference field="2" count="1" selected="0">
            <x v="1"/>
          </reference>
          <reference field="3" count="1" selected="0">
            <x v="4"/>
          </reference>
        </references>
      </pivotArea>
    </chartFormat>
    <chartFormat chart="14" format="62">
      <pivotArea type="data" outline="0" fieldPosition="0">
        <references count="3">
          <reference field="4294967294" count="1" selected="0">
            <x v="0"/>
          </reference>
          <reference field="2" count="1" selected="0">
            <x v="2"/>
          </reference>
          <reference field="3" count="1" selected="0">
            <x v="4"/>
          </reference>
        </references>
      </pivotArea>
    </chartFormat>
    <chartFormat chart="14" format="63">
      <pivotArea type="data" outline="0" fieldPosition="0">
        <references count="3">
          <reference field="4294967294" count="1" selected="0">
            <x v="0"/>
          </reference>
          <reference field="2" count="1" selected="0">
            <x v="3"/>
          </reference>
          <reference field="3" count="1" selected="0">
            <x v="4"/>
          </reference>
        </references>
      </pivotArea>
    </chartFormat>
    <chartFormat chart="14" format="64">
      <pivotArea type="data" outline="0" fieldPosition="0">
        <references count="3">
          <reference field="4294967294" count="1" selected="0">
            <x v="0"/>
          </reference>
          <reference field="2" count="1" selected="0">
            <x v="4"/>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EE581A-51C8-4ECB-BEC3-7F5C72984DAF}" sourceName="Region">
  <pivotTables>
    <pivotTable tabId="9" name="PivotTable2"/>
  </pivotTables>
  <data>
    <tabular pivotCacheId="463688933">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B8555E0-84D6-4AB1-A211-48641F386F6D}" sourceName="Product_Category">
  <pivotTables>
    <pivotTable tabId="9" name="PivotTable2"/>
  </pivotTables>
  <data>
    <tabular pivotCacheId="463688933">
      <items count="5">
        <i x="0"/>
        <i x="1" s="1"/>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34EEBC36-B0D9-4469-A05A-94EA974F57D4}" cache="Slicer_Product_Category" caption="Product_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22F1828-D6CE-4A5E-B084-7B7EB9715172}" cache="Slicer_Region" caption="Region" rowHeight="241300"/>
  <slicer name="Product_Category 1" xr10:uid="{D65ACF4D-9704-4333-B07E-D2F8A50C0C08}" cache="Slicer_Product_Category" caption="Product_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48462-41FF-446E-9867-FF072E4BCBA8}">
  <dimension ref="A1:AA201"/>
  <sheetViews>
    <sheetView topLeftCell="A10" workbookViewId="0">
      <selection activeCell="L23" sqref="L23"/>
    </sheetView>
  </sheetViews>
  <sheetFormatPr defaultRowHeight="15" x14ac:dyDescent="0.25"/>
  <cols>
    <col min="1" max="1" width="12.42578125" bestFit="1" customWidth="1"/>
    <col min="2" max="2" width="16" bestFit="1" customWidth="1"/>
    <col min="3" max="3" width="9.85546875" customWidth="1"/>
    <col min="4" max="4" width="16.85546875" bestFit="1" customWidth="1"/>
    <col min="8" max="8" width="14" customWidth="1"/>
    <col min="9" max="9" width="8.42578125" customWidth="1"/>
    <col min="10" max="10" width="15.5703125" bestFit="1" customWidth="1"/>
    <col min="11" max="12" width="15.5703125" customWidth="1"/>
    <col min="19" max="19" width="15" bestFit="1" customWidth="1"/>
    <col min="21" max="21" width="13.140625" bestFit="1" customWidth="1"/>
    <col min="22" max="22" width="16.28515625" bestFit="1" customWidth="1"/>
    <col min="23" max="23" width="9" bestFit="1" customWidth="1"/>
    <col min="24" max="24" width="10.5703125" bestFit="1" customWidth="1"/>
    <col min="25" max="25" width="9.28515625" bestFit="1" customWidth="1"/>
    <col min="26" max="26" width="14.5703125" bestFit="1" customWidth="1"/>
    <col min="27" max="27" width="11.28515625" bestFit="1" customWidth="1"/>
  </cols>
  <sheetData>
    <row r="1" spans="1:27" ht="28.5" customHeight="1" thickBot="1" x14ac:dyDescent="0.45">
      <c r="A1" s="4" t="s">
        <v>0</v>
      </c>
      <c r="B1" s="4" t="s">
        <v>1</v>
      </c>
      <c r="C1" s="4" t="s">
        <v>2</v>
      </c>
      <c r="D1" s="4" t="s">
        <v>3</v>
      </c>
      <c r="E1" s="4" t="s">
        <v>4</v>
      </c>
      <c r="F1" s="4" t="s">
        <v>5</v>
      </c>
      <c r="G1" s="4" t="s">
        <v>6</v>
      </c>
      <c r="H1" s="4" t="s">
        <v>7</v>
      </c>
      <c r="I1" s="4" t="s">
        <v>8</v>
      </c>
      <c r="J1" s="7" t="s">
        <v>131</v>
      </c>
      <c r="K1" s="7"/>
      <c r="L1" s="7"/>
      <c r="M1" s="25" t="s">
        <v>132</v>
      </c>
      <c r="N1" s="25" t="s">
        <v>133</v>
      </c>
      <c r="O1" s="25" t="s">
        <v>134</v>
      </c>
      <c r="R1">
        <f>SUM(I2:I201)</f>
        <v>68287.010000000009</v>
      </c>
      <c r="S1" s="26" t="s">
        <v>135</v>
      </c>
      <c r="T1" s="26"/>
      <c r="U1" s="29"/>
      <c r="V1" s="28"/>
      <c r="W1" s="28"/>
      <c r="X1" s="28"/>
      <c r="Y1" s="28"/>
      <c r="Z1" s="28"/>
      <c r="AA1" s="28"/>
    </row>
    <row r="2" spans="1:27" ht="30.75" thickBot="1" x14ac:dyDescent="0.3">
      <c r="A2" s="1" t="s">
        <v>9</v>
      </c>
      <c r="B2" s="1" t="s">
        <v>10</v>
      </c>
      <c r="C2" s="1" t="s">
        <v>11</v>
      </c>
      <c r="D2" s="1" t="s">
        <v>12</v>
      </c>
      <c r="E2" s="2">
        <v>1036.0899999999999</v>
      </c>
      <c r="F2" s="2">
        <v>4</v>
      </c>
      <c r="G2" s="2">
        <v>0.2</v>
      </c>
      <c r="H2" s="3">
        <v>45392</v>
      </c>
      <c r="I2" s="2">
        <v>331.55</v>
      </c>
      <c r="J2" s="24">
        <f ca="1">NOW()</f>
        <v>46309.874604861114</v>
      </c>
      <c r="K2" s="24"/>
      <c r="L2" s="24"/>
      <c r="M2" s="5">
        <v>1</v>
      </c>
      <c r="N2" s="1" t="s">
        <v>38</v>
      </c>
      <c r="O2" s="2">
        <v>1572.82</v>
      </c>
      <c r="R2">
        <v>1</v>
      </c>
      <c r="S2" t="str">
        <f>INDEX(N2:N6, MATCH(R2, M2:M6, 0))</f>
        <v>Emma Davis</v>
      </c>
    </row>
    <row r="3" spans="1:27" ht="45.75" thickBot="1" x14ac:dyDescent="0.3">
      <c r="A3" s="1" t="s">
        <v>13</v>
      </c>
      <c r="B3" s="1" t="s">
        <v>14</v>
      </c>
      <c r="C3" s="1" t="s">
        <v>11</v>
      </c>
      <c r="D3" s="1" t="s">
        <v>15</v>
      </c>
      <c r="E3" s="2">
        <v>1101.28</v>
      </c>
      <c r="F3" s="2">
        <v>3</v>
      </c>
      <c r="G3" s="2">
        <v>0.2</v>
      </c>
      <c r="H3" s="3">
        <v>45393</v>
      </c>
      <c r="I3" s="2">
        <v>440.51</v>
      </c>
      <c r="J3" s="24">
        <f t="shared" ref="J3:J66" ca="1" si="0">NOW()</f>
        <v>46309.874604861114</v>
      </c>
      <c r="K3" s="24"/>
      <c r="L3" s="24"/>
      <c r="M3" s="5">
        <v>2</v>
      </c>
      <c r="N3" s="1" t="s">
        <v>43</v>
      </c>
      <c r="O3" s="2">
        <v>1502.93</v>
      </c>
      <c r="R3">
        <v>2</v>
      </c>
      <c r="S3" t="str">
        <f t="shared" ref="S3:S6" si="1">INDEX(N3:N7, MATCH(R3, M3:M7, 0))</f>
        <v>Sarah Anderson</v>
      </c>
    </row>
    <row r="4" spans="1:27" ht="30.75" thickBot="1" x14ac:dyDescent="0.3">
      <c r="A4" s="1" t="s">
        <v>16</v>
      </c>
      <c r="B4" s="1" t="s">
        <v>17</v>
      </c>
      <c r="C4" s="1" t="s">
        <v>18</v>
      </c>
      <c r="D4" s="1" t="s">
        <v>12</v>
      </c>
      <c r="E4" s="2">
        <v>713.34</v>
      </c>
      <c r="F4" s="2">
        <v>17</v>
      </c>
      <c r="G4" s="2">
        <v>0</v>
      </c>
      <c r="H4" s="3">
        <v>45396</v>
      </c>
      <c r="I4" s="2">
        <v>285.33999999999997</v>
      </c>
      <c r="J4" s="24">
        <f t="shared" ca="1" si="0"/>
        <v>46309.874604861114</v>
      </c>
      <c r="K4" s="24"/>
      <c r="L4" s="24"/>
      <c r="M4" s="5">
        <v>3</v>
      </c>
      <c r="N4" s="1" t="s">
        <v>47</v>
      </c>
      <c r="O4" s="2">
        <v>1506.14</v>
      </c>
      <c r="R4">
        <v>3</v>
      </c>
      <c r="S4" t="str">
        <f t="shared" si="1"/>
        <v>Mary Jackson</v>
      </c>
    </row>
    <row r="5" spans="1:27" ht="30.75" thickBot="1" x14ac:dyDescent="0.3">
      <c r="A5" s="1" t="s">
        <v>19</v>
      </c>
      <c r="B5" s="1" t="s">
        <v>14</v>
      </c>
      <c r="C5" s="1" t="s">
        <v>20</v>
      </c>
      <c r="D5" s="1" t="s">
        <v>21</v>
      </c>
      <c r="E5" s="2">
        <v>760.93</v>
      </c>
      <c r="F5" s="2">
        <v>4</v>
      </c>
      <c r="G5" s="2">
        <v>0.15</v>
      </c>
      <c r="H5" s="3">
        <v>45396</v>
      </c>
      <c r="I5" s="2">
        <v>161.69999999999999</v>
      </c>
      <c r="J5" s="24">
        <f t="shared" ca="1" si="0"/>
        <v>46309.874604861114</v>
      </c>
      <c r="K5" s="24"/>
      <c r="L5" s="24"/>
      <c r="M5" s="6">
        <v>4</v>
      </c>
      <c r="N5" s="1" t="s">
        <v>38</v>
      </c>
      <c r="O5" s="2">
        <v>1526.6</v>
      </c>
      <c r="R5">
        <v>4</v>
      </c>
      <c r="S5" t="str">
        <f t="shared" si="1"/>
        <v>Emma Davis</v>
      </c>
    </row>
    <row r="6" spans="1:27" ht="30.75" thickBot="1" x14ac:dyDescent="0.3">
      <c r="A6" s="1" t="s">
        <v>22</v>
      </c>
      <c r="B6" s="1" t="s">
        <v>23</v>
      </c>
      <c r="C6" s="1" t="s">
        <v>24</v>
      </c>
      <c r="D6" s="1" t="s">
        <v>12</v>
      </c>
      <c r="E6" s="2">
        <v>847</v>
      </c>
      <c r="F6" s="2">
        <v>12</v>
      </c>
      <c r="G6" s="2">
        <v>0.2</v>
      </c>
      <c r="H6" s="3">
        <v>45397</v>
      </c>
      <c r="I6" s="2">
        <v>271.04000000000002</v>
      </c>
      <c r="J6" s="24">
        <f t="shared" ca="1" si="0"/>
        <v>46309.874604861114</v>
      </c>
      <c r="K6" s="24"/>
      <c r="L6" s="24"/>
      <c r="M6" s="5">
        <v>5</v>
      </c>
      <c r="N6" s="1" t="s">
        <v>23</v>
      </c>
      <c r="O6" s="2">
        <v>1923.66</v>
      </c>
      <c r="R6">
        <v>5</v>
      </c>
      <c r="S6" t="str">
        <f t="shared" si="1"/>
        <v>James Wilson</v>
      </c>
    </row>
    <row r="7" spans="1:27" ht="30.75" thickBot="1" x14ac:dyDescent="0.3">
      <c r="A7" s="1" t="s">
        <v>25</v>
      </c>
      <c r="B7" s="1" t="s">
        <v>26</v>
      </c>
      <c r="C7" s="1" t="s">
        <v>24</v>
      </c>
      <c r="D7" s="1" t="s">
        <v>27</v>
      </c>
      <c r="E7" s="2">
        <v>965.64</v>
      </c>
      <c r="F7" s="2">
        <v>8</v>
      </c>
      <c r="G7" s="2">
        <v>0.1</v>
      </c>
      <c r="H7" s="3">
        <v>45398</v>
      </c>
      <c r="I7" s="2">
        <v>304.18</v>
      </c>
      <c r="J7" s="24">
        <f t="shared" ca="1" si="0"/>
        <v>46309.874604861114</v>
      </c>
      <c r="K7" s="24"/>
      <c r="L7" s="24"/>
      <c r="M7" s="5"/>
      <c r="N7" s="6"/>
    </row>
    <row r="8" spans="1:27" ht="15.75" thickBot="1" x14ac:dyDescent="0.3">
      <c r="A8" s="1" t="s">
        <v>28</v>
      </c>
      <c r="B8" s="1" t="s">
        <v>29</v>
      </c>
      <c r="C8" s="1" t="s">
        <v>11</v>
      </c>
      <c r="D8" s="1" t="s">
        <v>21</v>
      </c>
      <c r="E8" s="2">
        <v>1317.53</v>
      </c>
      <c r="F8" s="2">
        <v>12</v>
      </c>
      <c r="G8" s="2">
        <v>0.05</v>
      </c>
      <c r="H8" s="3">
        <v>45398</v>
      </c>
      <c r="I8" s="2">
        <v>312.91000000000003</v>
      </c>
      <c r="J8" s="24">
        <f t="shared" ca="1" si="0"/>
        <v>46309.874604861114</v>
      </c>
      <c r="K8" s="24"/>
      <c r="L8" s="24"/>
      <c r="M8" s="5"/>
      <c r="N8" s="6"/>
    </row>
    <row r="9" spans="1:27" ht="15.75" thickBot="1" x14ac:dyDescent="0.3">
      <c r="A9" s="1" t="s">
        <v>30</v>
      </c>
      <c r="B9" s="1" t="s">
        <v>31</v>
      </c>
      <c r="C9" s="1" t="s">
        <v>18</v>
      </c>
      <c r="D9" s="1" t="s">
        <v>27</v>
      </c>
      <c r="E9" s="2">
        <v>1074.47</v>
      </c>
      <c r="F9" s="2">
        <v>6</v>
      </c>
      <c r="G9" s="2">
        <v>0.2</v>
      </c>
      <c r="H9" s="3">
        <v>45401</v>
      </c>
      <c r="I9" s="2">
        <v>300.85000000000002</v>
      </c>
      <c r="J9" s="24">
        <f t="shared" ca="1" si="0"/>
        <v>46309.874604861114</v>
      </c>
      <c r="K9" s="24"/>
      <c r="L9" s="24"/>
      <c r="M9" s="6"/>
    </row>
    <row r="10" spans="1:27" ht="15.75" thickBot="1" x14ac:dyDescent="0.3">
      <c r="A10" s="1" t="s">
        <v>32</v>
      </c>
      <c r="B10" s="1" t="s">
        <v>33</v>
      </c>
      <c r="C10" s="1" t="s">
        <v>34</v>
      </c>
      <c r="D10" s="1" t="s">
        <v>12</v>
      </c>
      <c r="E10" s="2">
        <v>501.54</v>
      </c>
      <c r="F10" s="2">
        <v>11</v>
      </c>
      <c r="G10" s="2">
        <v>0.05</v>
      </c>
      <c r="H10" s="3">
        <v>45401</v>
      </c>
      <c r="I10" s="2">
        <v>190.59</v>
      </c>
      <c r="J10" s="24">
        <f t="shared" ca="1" si="0"/>
        <v>46309.874604861114</v>
      </c>
      <c r="K10" s="24"/>
      <c r="L10" s="24"/>
      <c r="M10" s="5"/>
    </row>
    <row r="11" spans="1:27" ht="15.75" thickBot="1" x14ac:dyDescent="0.3">
      <c r="A11" s="1" t="s">
        <v>35</v>
      </c>
      <c r="B11" s="1" t="s">
        <v>36</v>
      </c>
      <c r="C11" s="1" t="s">
        <v>34</v>
      </c>
      <c r="D11" s="1" t="s">
        <v>15</v>
      </c>
      <c r="E11" s="2">
        <v>737.31</v>
      </c>
      <c r="F11" s="2">
        <v>2</v>
      </c>
      <c r="G11" s="2">
        <v>0.05</v>
      </c>
      <c r="H11" s="3">
        <v>45401</v>
      </c>
      <c r="I11" s="2">
        <v>350.22</v>
      </c>
      <c r="J11" s="24">
        <f t="shared" ca="1" si="0"/>
        <v>46309.874604861114</v>
      </c>
      <c r="K11" s="24"/>
      <c r="L11" s="24"/>
      <c r="M11" s="5"/>
    </row>
    <row r="12" spans="1:27" ht="15.75" thickBot="1" x14ac:dyDescent="0.3">
      <c r="A12" s="1" t="s">
        <v>37</v>
      </c>
      <c r="B12" s="1" t="s">
        <v>38</v>
      </c>
      <c r="C12" s="1" t="s">
        <v>11</v>
      </c>
      <c r="D12" s="1" t="s">
        <v>39</v>
      </c>
      <c r="E12" s="2">
        <v>1572.82</v>
      </c>
      <c r="F12" s="2">
        <v>6</v>
      </c>
      <c r="G12" s="2">
        <v>0.05</v>
      </c>
      <c r="H12" s="3">
        <v>45402</v>
      </c>
      <c r="I12" s="2">
        <v>672.38</v>
      </c>
      <c r="J12" s="24">
        <f t="shared" ca="1" si="0"/>
        <v>46309.874604861114</v>
      </c>
      <c r="K12" s="24"/>
      <c r="L12" s="24"/>
      <c r="M12" s="5"/>
    </row>
    <row r="13" spans="1:27" ht="15.75" thickBot="1" x14ac:dyDescent="0.3">
      <c r="A13" s="1" t="s">
        <v>37</v>
      </c>
      <c r="B13" s="1" t="s">
        <v>36</v>
      </c>
      <c r="C13" s="1" t="s">
        <v>34</v>
      </c>
      <c r="D13" s="1" t="s">
        <v>12</v>
      </c>
      <c r="E13" s="2">
        <v>1343.13</v>
      </c>
      <c r="F13" s="2">
        <v>14</v>
      </c>
      <c r="G13" s="2">
        <v>0.15</v>
      </c>
      <c r="H13" s="3">
        <v>45404</v>
      </c>
      <c r="I13" s="2">
        <v>456.66</v>
      </c>
      <c r="J13" s="24">
        <f t="shared" ca="1" si="0"/>
        <v>46309.874604861114</v>
      </c>
      <c r="K13" s="24"/>
      <c r="L13" s="24"/>
      <c r="M13" s="6"/>
    </row>
    <row r="14" spans="1:27" ht="30.75" thickBot="1" x14ac:dyDescent="0.3">
      <c r="A14" s="1" t="s">
        <v>25</v>
      </c>
      <c r="B14" s="1" t="s">
        <v>26</v>
      </c>
      <c r="C14" s="1" t="s">
        <v>34</v>
      </c>
      <c r="D14" s="1" t="s">
        <v>12</v>
      </c>
      <c r="E14" s="2">
        <v>1191.58</v>
      </c>
      <c r="F14" s="2">
        <v>14</v>
      </c>
      <c r="G14" s="2">
        <v>0.05</v>
      </c>
      <c r="H14" s="3">
        <v>45406</v>
      </c>
      <c r="I14" s="2">
        <v>452.8</v>
      </c>
      <c r="J14" s="24">
        <f t="shared" ca="1" si="0"/>
        <v>46309.874604861114</v>
      </c>
      <c r="K14" s="24"/>
      <c r="L14" s="24"/>
      <c r="M14" s="5"/>
    </row>
    <row r="15" spans="1:27" ht="30.75" thickBot="1" x14ac:dyDescent="0.3">
      <c r="A15" s="1" t="s">
        <v>40</v>
      </c>
      <c r="B15" s="1" t="s">
        <v>14</v>
      </c>
      <c r="C15" s="1" t="s">
        <v>11</v>
      </c>
      <c r="D15" s="1" t="s">
        <v>27</v>
      </c>
      <c r="E15" s="2">
        <v>822.28</v>
      </c>
      <c r="F15" s="2">
        <v>7</v>
      </c>
      <c r="G15" s="2">
        <v>0.05</v>
      </c>
      <c r="H15" s="3">
        <v>45406</v>
      </c>
      <c r="I15" s="2">
        <v>273.41000000000003</v>
      </c>
      <c r="J15" s="24">
        <f t="shared" ca="1" si="0"/>
        <v>46309.874604861114</v>
      </c>
      <c r="K15" s="24"/>
      <c r="L15" s="24"/>
      <c r="M15" s="5"/>
    </row>
    <row r="16" spans="1:27" ht="15.75" thickBot="1" x14ac:dyDescent="0.3">
      <c r="A16" s="1" t="s">
        <v>41</v>
      </c>
      <c r="B16" s="1" t="s">
        <v>42</v>
      </c>
      <c r="C16" s="1" t="s">
        <v>24</v>
      </c>
      <c r="D16" s="1" t="s">
        <v>27</v>
      </c>
      <c r="E16" s="2">
        <v>521.66999999999996</v>
      </c>
      <c r="F16" s="2">
        <v>15</v>
      </c>
      <c r="G16" s="2">
        <v>0.15</v>
      </c>
      <c r="H16" s="3">
        <v>45409</v>
      </c>
      <c r="I16" s="2">
        <v>155.19999999999999</v>
      </c>
      <c r="J16" s="24">
        <f t="shared" ca="1" si="0"/>
        <v>46309.874604861114</v>
      </c>
      <c r="K16" s="24"/>
      <c r="L16" s="24"/>
      <c r="M16" s="5"/>
    </row>
    <row r="17" spans="1:13" ht="15.75" thickBot="1" x14ac:dyDescent="0.3">
      <c r="A17" s="1" t="s">
        <v>19</v>
      </c>
      <c r="B17" s="1" t="s">
        <v>43</v>
      </c>
      <c r="C17" s="1" t="s">
        <v>20</v>
      </c>
      <c r="D17" s="1" t="s">
        <v>21</v>
      </c>
      <c r="E17" s="2">
        <v>1502.93</v>
      </c>
      <c r="F17" s="2">
        <v>14</v>
      </c>
      <c r="G17" s="2">
        <v>0.2</v>
      </c>
      <c r="H17" s="3">
        <v>45410</v>
      </c>
      <c r="I17" s="2">
        <v>300.58999999999997</v>
      </c>
      <c r="J17" s="24">
        <f t="shared" ca="1" si="0"/>
        <v>46309.874604861114</v>
      </c>
      <c r="K17" s="24"/>
      <c r="L17" s="24"/>
      <c r="M17" s="6"/>
    </row>
    <row r="18" spans="1:13" ht="30.75" thickBot="1" x14ac:dyDescent="0.3">
      <c r="A18" s="1" t="s">
        <v>44</v>
      </c>
      <c r="B18" s="1" t="s">
        <v>14</v>
      </c>
      <c r="C18" s="1" t="s">
        <v>20</v>
      </c>
      <c r="D18" s="1" t="s">
        <v>12</v>
      </c>
      <c r="E18" s="2">
        <v>877.58</v>
      </c>
      <c r="F18" s="2">
        <v>10</v>
      </c>
      <c r="G18" s="2">
        <v>0.15</v>
      </c>
      <c r="H18" s="3">
        <v>45411</v>
      </c>
      <c r="I18" s="2">
        <v>298.38</v>
      </c>
      <c r="J18" s="24">
        <f t="shared" ca="1" si="0"/>
        <v>46309.874604861114</v>
      </c>
      <c r="K18" s="24"/>
      <c r="L18" s="24"/>
      <c r="M18" s="5"/>
    </row>
    <row r="19" spans="1:13" ht="15.75" thickBot="1" x14ac:dyDescent="0.3">
      <c r="A19" s="1" t="s">
        <v>28</v>
      </c>
      <c r="B19" s="1" t="s">
        <v>45</v>
      </c>
      <c r="C19" s="1" t="s">
        <v>11</v>
      </c>
      <c r="D19" s="1" t="s">
        <v>12</v>
      </c>
      <c r="E19" s="2">
        <v>636.70000000000005</v>
      </c>
      <c r="F19" s="2">
        <v>4</v>
      </c>
      <c r="G19" s="2">
        <v>0.2</v>
      </c>
      <c r="H19" s="3">
        <v>45411</v>
      </c>
      <c r="I19" s="2">
        <v>203.74</v>
      </c>
      <c r="J19" s="24">
        <f t="shared" ca="1" si="0"/>
        <v>46309.874604861114</v>
      </c>
      <c r="K19" s="24"/>
      <c r="L19" s="24"/>
      <c r="M19" s="5"/>
    </row>
    <row r="20" spans="1:13" ht="15.75" thickBot="1" x14ac:dyDescent="0.3">
      <c r="A20" s="1" t="s">
        <v>46</v>
      </c>
      <c r="B20" s="1" t="s">
        <v>47</v>
      </c>
      <c r="C20" s="1" t="s">
        <v>11</v>
      </c>
      <c r="D20" s="1" t="s">
        <v>12</v>
      </c>
      <c r="E20" s="2">
        <v>1506.14</v>
      </c>
      <c r="F20" s="2">
        <v>13</v>
      </c>
      <c r="G20" s="2">
        <v>0.2</v>
      </c>
      <c r="H20" s="3">
        <v>45412</v>
      </c>
      <c r="I20" s="2">
        <v>481.96</v>
      </c>
      <c r="J20" s="24">
        <f t="shared" ca="1" si="0"/>
        <v>46309.874604861114</v>
      </c>
      <c r="K20" s="24"/>
      <c r="L20" s="24"/>
      <c r="M20" s="5"/>
    </row>
    <row r="21" spans="1:13" ht="15.75" thickBot="1" x14ac:dyDescent="0.3">
      <c r="A21" s="1" t="s">
        <v>30</v>
      </c>
      <c r="B21" s="1" t="s">
        <v>31</v>
      </c>
      <c r="C21" s="1" t="s">
        <v>34</v>
      </c>
      <c r="D21" s="1" t="s">
        <v>21</v>
      </c>
      <c r="E21" s="2">
        <v>645.02</v>
      </c>
      <c r="F21" s="2">
        <v>4</v>
      </c>
      <c r="G21" s="2">
        <v>0</v>
      </c>
      <c r="H21" s="3">
        <v>45414</v>
      </c>
      <c r="I21" s="2">
        <v>161.26</v>
      </c>
      <c r="J21" s="24">
        <f t="shared" ca="1" si="0"/>
        <v>46309.874604861114</v>
      </c>
      <c r="K21" s="24"/>
      <c r="L21" s="24"/>
      <c r="M21" s="6"/>
    </row>
    <row r="22" spans="1:13" ht="15.75" thickBot="1" x14ac:dyDescent="0.3">
      <c r="A22" s="1" t="s">
        <v>25</v>
      </c>
      <c r="B22" s="1" t="s">
        <v>48</v>
      </c>
      <c r="C22" s="1" t="s">
        <v>20</v>
      </c>
      <c r="D22" s="1" t="s">
        <v>15</v>
      </c>
      <c r="E22" s="2">
        <v>953.3</v>
      </c>
      <c r="F22" s="2">
        <v>11</v>
      </c>
      <c r="G22" s="2">
        <v>0</v>
      </c>
      <c r="H22" s="3">
        <v>45415</v>
      </c>
      <c r="I22" s="2">
        <v>476.65</v>
      </c>
      <c r="J22" s="24">
        <f t="shared" ca="1" si="0"/>
        <v>46309.874604861114</v>
      </c>
      <c r="K22" s="24"/>
      <c r="L22" s="24"/>
      <c r="M22" s="5"/>
    </row>
    <row r="23" spans="1:13" ht="30.75" thickBot="1" x14ac:dyDescent="0.3">
      <c r="A23" s="1" t="s">
        <v>49</v>
      </c>
      <c r="B23" s="1" t="s">
        <v>14</v>
      </c>
      <c r="C23" s="1" t="s">
        <v>24</v>
      </c>
      <c r="D23" s="1" t="s">
        <v>21</v>
      </c>
      <c r="E23" s="2">
        <v>388.56</v>
      </c>
      <c r="F23" s="2">
        <v>14</v>
      </c>
      <c r="G23" s="2">
        <v>0.15</v>
      </c>
      <c r="H23" s="3">
        <v>45416</v>
      </c>
      <c r="I23" s="2">
        <v>82.57</v>
      </c>
      <c r="J23" s="24">
        <f t="shared" ca="1" si="0"/>
        <v>46309.874604861114</v>
      </c>
      <c r="K23" s="24"/>
      <c r="L23" s="24"/>
      <c r="M23" s="5"/>
    </row>
    <row r="24" spans="1:13" ht="15.75" thickBot="1" x14ac:dyDescent="0.3">
      <c r="A24" s="1" t="s">
        <v>9</v>
      </c>
      <c r="B24" s="1" t="s">
        <v>31</v>
      </c>
      <c r="C24" s="1" t="s">
        <v>11</v>
      </c>
      <c r="D24" s="1" t="s">
        <v>12</v>
      </c>
      <c r="E24" s="2">
        <v>743.17</v>
      </c>
      <c r="F24" s="2">
        <v>9</v>
      </c>
      <c r="G24" s="2">
        <v>0</v>
      </c>
      <c r="H24" s="3">
        <v>45416</v>
      </c>
      <c r="I24" s="2">
        <v>297.27</v>
      </c>
      <c r="J24" s="24">
        <f t="shared" ca="1" si="0"/>
        <v>46309.874604861114</v>
      </c>
      <c r="K24" s="24"/>
      <c r="L24" s="24"/>
      <c r="M24" s="5"/>
    </row>
    <row r="25" spans="1:13" ht="15.75" thickBot="1" x14ac:dyDescent="0.3">
      <c r="A25" s="1" t="s">
        <v>40</v>
      </c>
      <c r="B25" s="1" t="s">
        <v>31</v>
      </c>
      <c r="C25" s="1" t="s">
        <v>34</v>
      </c>
      <c r="D25" s="1" t="s">
        <v>21</v>
      </c>
      <c r="E25" s="2">
        <v>706.37</v>
      </c>
      <c r="F25" s="2">
        <v>6</v>
      </c>
      <c r="G25" s="2">
        <v>0</v>
      </c>
      <c r="H25" s="3">
        <v>45416</v>
      </c>
      <c r="I25" s="2">
        <v>176.59</v>
      </c>
      <c r="J25" s="24">
        <f t="shared" ca="1" si="0"/>
        <v>46309.874604861114</v>
      </c>
      <c r="K25" s="24"/>
      <c r="L25" s="24"/>
      <c r="M25" s="6"/>
    </row>
    <row r="26" spans="1:13" ht="15.75" thickBot="1" x14ac:dyDescent="0.3">
      <c r="A26" s="1" t="s">
        <v>13</v>
      </c>
      <c r="B26" s="1" t="s">
        <v>31</v>
      </c>
      <c r="C26" s="1" t="s">
        <v>34</v>
      </c>
      <c r="D26" s="1" t="s">
        <v>39</v>
      </c>
      <c r="E26" s="2">
        <v>925.31</v>
      </c>
      <c r="F26" s="2">
        <v>8</v>
      </c>
      <c r="G26" s="2">
        <v>0.1</v>
      </c>
      <c r="H26" s="3">
        <v>45418</v>
      </c>
      <c r="I26" s="2">
        <v>374.75</v>
      </c>
      <c r="J26" s="24">
        <f t="shared" ca="1" si="0"/>
        <v>46309.874604861114</v>
      </c>
      <c r="K26" s="24"/>
      <c r="L26" s="24"/>
      <c r="M26" s="5"/>
    </row>
    <row r="27" spans="1:13" ht="15.75" thickBot="1" x14ac:dyDescent="0.3">
      <c r="A27" s="1" t="s">
        <v>35</v>
      </c>
      <c r="B27" s="1" t="s">
        <v>50</v>
      </c>
      <c r="C27" s="1" t="s">
        <v>20</v>
      </c>
      <c r="D27" s="1" t="s">
        <v>21</v>
      </c>
      <c r="E27" s="2">
        <v>1173.1199999999999</v>
      </c>
      <c r="F27" s="2">
        <v>18</v>
      </c>
      <c r="G27" s="2">
        <v>0</v>
      </c>
      <c r="H27" s="3">
        <v>45418</v>
      </c>
      <c r="I27" s="2">
        <v>293.27999999999997</v>
      </c>
      <c r="J27" s="24">
        <f t="shared" ca="1" si="0"/>
        <v>46309.874604861114</v>
      </c>
      <c r="K27" s="24"/>
      <c r="L27" s="24"/>
      <c r="M27" s="5"/>
    </row>
    <row r="28" spans="1:13" ht="15.75" thickBot="1" x14ac:dyDescent="0.3">
      <c r="A28" s="1" t="s">
        <v>22</v>
      </c>
      <c r="B28" s="1" t="s">
        <v>51</v>
      </c>
      <c r="C28" s="1" t="s">
        <v>24</v>
      </c>
      <c r="D28" s="1" t="s">
        <v>27</v>
      </c>
      <c r="E28" s="2">
        <v>675.54</v>
      </c>
      <c r="F28" s="2">
        <v>17</v>
      </c>
      <c r="G28" s="2">
        <v>0</v>
      </c>
      <c r="H28" s="3">
        <v>45420</v>
      </c>
      <c r="I28" s="2">
        <v>236.44</v>
      </c>
      <c r="J28" s="24">
        <f t="shared" ca="1" si="0"/>
        <v>46309.874604861114</v>
      </c>
      <c r="K28" s="24"/>
      <c r="L28" s="24"/>
      <c r="M28" s="5"/>
    </row>
    <row r="29" spans="1:13" ht="30.75" thickBot="1" x14ac:dyDescent="0.3">
      <c r="A29" s="1" t="s">
        <v>25</v>
      </c>
      <c r="B29" s="1" t="s">
        <v>14</v>
      </c>
      <c r="C29" s="1" t="s">
        <v>34</v>
      </c>
      <c r="D29" s="1" t="s">
        <v>12</v>
      </c>
      <c r="E29" s="2">
        <v>939.09</v>
      </c>
      <c r="F29" s="2">
        <v>2</v>
      </c>
      <c r="G29" s="2">
        <v>0.05</v>
      </c>
      <c r="H29" s="3">
        <v>45422</v>
      </c>
      <c r="I29" s="2">
        <v>356.85</v>
      </c>
      <c r="J29" s="24">
        <f t="shared" ca="1" si="0"/>
        <v>46309.874604861114</v>
      </c>
      <c r="K29" s="24"/>
      <c r="L29" s="24"/>
      <c r="M29" s="6"/>
    </row>
    <row r="30" spans="1:13" ht="15.75" thickBot="1" x14ac:dyDescent="0.3">
      <c r="A30" s="1" t="s">
        <v>52</v>
      </c>
      <c r="B30" s="1" t="s">
        <v>53</v>
      </c>
      <c r="C30" s="1" t="s">
        <v>18</v>
      </c>
      <c r="D30" s="1" t="s">
        <v>39</v>
      </c>
      <c r="E30" s="2">
        <v>983.34</v>
      </c>
      <c r="F30" s="2">
        <v>19</v>
      </c>
      <c r="G30" s="2">
        <v>0.1</v>
      </c>
      <c r="H30" s="3">
        <v>45426</v>
      </c>
      <c r="I30" s="2">
        <v>398.25</v>
      </c>
      <c r="J30" s="24">
        <f t="shared" ca="1" si="0"/>
        <v>46309.874604861114</v>
      </c>
      <c r="K30" s="24"/>
      <c r="L30" s="24"/>
      <c r="M30" s="5"/>
    </row>
    <row r="31" spans="1:13" ht="15.75" thickBot="1" x14ac:dyDescent="0.3">
      <c r="A31" s="1" t="s">
        <v>52</v>
      </c>
      <c r="B31" s="1" t="s">
        <v>23</v>
      </c>
      <c r="C31" s="1" t="s">
        <v>20</v>
      </c>
      <c r="D31" s="1" t="s">
        <v>21</v>
      </c>
      <c r="E31" s="2">
        <v>801.21</v>
      </c>
      <c r="F31" s="2">
        <v>3</v>
      </c>
      <c r="G31" s="2">
        <v>0.2</v>
      </c>
      <c r="H31" s="3">
        <v>45426</v>
      </c>
      <c r="I31" s="2">
        <v>160.24</v>
      </c>
      <c r="J31" s="24">
        <f t="shared" ca="1" si="0"/>
        <v>46309.874604861114</v>
      </c>
      <c r="K31" s="24"/>
      <c r="L31" s="24"/>
      <c r="M31" s="5"/>
    </row>
    <row r="32" spans="1:13" ht="15.75" thickBot="1" x14ac:dyDescent="0.3">
      <c r="A32" s="1" t="s">
        <v>54</v>
      </c>
      <c r="B32" s="1" t="s">
        <v>55</v>
      </c>
      <c r="C32" s="1" t="s">
        <v>24</v>
      </c>
      <c r="D32" s="1" t="s">
        <v>21</v>
      </c>
      <c r="E32" s="2">
        <v>1450.71</v>
      </c>
      <c r="F32" s="2">
        <v>5</v>
      </c>
      <c r="G32" s="2">
        <v>0.1</v>
      </c>
      <c r="H32" s="3">
        <v>45427</v>
      </c>
      <c r="I32" s="2">
        <v>326.41000000000003</v>
      </c>
      <c r="J32" s="24">
        <f t="shared" ca="1" si="0"/>
        <v>46309.874604861114</v>
      </c>
      <c r="K32" s="24"/>
      <c r="L32" s="24"/>
      <c r="M32" s="5"/>
    </row>
    <row r="33" spans="1:13" ht="15.75" thickBot="1" x14ac:dyDescent="0.3">
      <c r="A33" s="1" t="s">
        <v>49</v>
      </c>
      <c r="B33" s="1" t="s">
        <v>56</v>
      </c>
      <c r="C33" s="1" t="s">
        <v>34</v>
      </c>
      <c r="D33" s="1" t="s">
        <v>12</v>
      </c>
      <c r="E33" s="2">
        <v>1023.21</v>
      </c>
      <c r="F33" s="2">
        <v>18</v>
      </c>
      <c r="G33" s="2">
        <v>0.05</v>
      </c>
      <c r="H33" s="3">
        <v>45428</v>
      </c>
      <c r="I33" s="2">
        <v>388.82</v>
      </c>
      <c r="J33" s="24">
        <f t="shared" ca="1" si="0"/>
        <v>46309.874604861114</v>
      </c>
      <c r="K33" s="24"/>
      <c r="L33" s="24"/>
      <c r="M33" s="6"/>
    </row>
    <row r="34" spans="1:13" ht="15.75" thickBot="1" x14ac:dyDescent="0.3">
      <c r="A34" s="1" t="s">
        <v>28</v>
      </c>
      <c r="B34" s="1" t="s">
        <v>47</v>
      </c>
      <c r="C34" s="1" t="s">
        <v>11</v>
      </c>
      <c r="D34" s="1" t="s">
        <v>27</v>
      </c>
      <c r="E34" s="2">
        <v>853.72</v>
      </c>
      <c r="F34" s="2">
        <v>5</v>
      </c>
      <c r="G34" s="2">
        <v>0.15</v>
      </c>
      <c r="H34" s="3">
        <v>45428</v>
      </c>
      <c r="I34" s="2">
        <v>253.98</v>
      </c>
      <c r="J34" s="24">
        <f t="shared" ca="1" si="0"/>
        <v>46309.874604861114</v>
      </c>
      <c r="K34" s="24"/>
      <c r="L34" s="24"/>
      <c r="M34" s="5"/>
    </row>
    <row r="35" spans="1:13" ht="15.75" thickBot="1" x14ac:dyDescent="0.3">
      <c r="A35" s="1" t="s">
        <v>57</v>
      </c>
      <c r="B35" s="1" t="s">
        <v>43</v>
      </c>
      <c r="C35" s="1" t="s">
        <v>20</v>
      </c>
      <c r="D35" s="1" t="s">
        <v>21</v>
      </c>
      <c r="E35" s="2">
        <v>967.89</v>
      </c>
      <c r="F35" s="2">
        <v>10</v>
      </c>
      <c r="G35" s="2">
        <v>0.1</v>
      </c>
      <c r="H35" s="3">
        <v>45429</v>
      </c>
      <c r="I35" s="2">
        <v>217.78</v>
      </c>
      <c r="J35" s="24">
        <f t="shared" ca="1" si="0"/>
        <v>46309.874604861114</v>
      </c>
      <c r="K35" s="24"/>
      <c r="L35" s="24"/>
      <c r="M35" s="5"/>
    </row>
    <row r="36" spans="1:13" ht="15.75" thickBot="1" x14ac:dyDescent="0.3">
      <c r="A36" s="1" t="s">
        <v>58</v>
      </c>
      <c r="B36" s="1" t="s">
        <v>53</v>
      </c>
      <c r="C36" s="1" t="s">
        <v>24</v>
      </c>
      <c r="D36" s="1" t="s">
        <v>39</v>
      </c>
      <c r="E36" s="2">
        <v>1200.9000000000001</v>
      </c>
      <c r="F36" s="2">
        <v>14</v>
      </c>
      <c r="G36" s="2">
        <v>0.05</v>
      </c>
      <c r="H36" s="3">
        <v>45429</v>
      </c>
      <c r="I36" s="2">
        <v>513.38</v>
      </c>
      <c r="J36" s="24">
        <f t="shared" ca="1" si="0"/>
        <v>46309.874604861114</v>
      </c>
      <c r="K36" s="24"/>
      <c r="L36" s="24"/>
      <c r="M36" s="5"/>
    </row>
    <row r="37" spans="1:13" ht="30.75" thickBot="1" x14ac:dyDescent="0.3">
      <c r="A37" s="1" t="s">
        <v>13</v>
      </c>
      <c r="B37" s="1" t="s">
        <v>26</v>
      </c>
      <c r="C37" s="1" t="s">
        <v>11</v>
      </c>
      <c r="D37" s="1" t="s">
        <v>12</v>
      </c>
      <c r="E37" s="2">
        <v>472.38</v>
      </c>
      <c r="F37" s="2">
        <v>12</v>
      </c>
      <c r="G37" s="2">
        <v>0.2</v>
      </c>
      <c r="H37" s="3">
        <v>45429</v>
      </c>
      <c r="I37" s="2">
        <v>151.16</v>
      </c>
      <c r="J37" s="24">
        <f t="shared" ca="1" si="0"/>
        <v>46309.874604861114</v>
      </c>
      <c r="K37" s="24"/>
      <c r="L37" s="24"/>
      <c r="M37" s="6"/>
    </row>
    <row r="38" spans="1:13" ht="15.75" thickBot="1" x14ac:dyDescent="0.3">
      <c r="A38" s="1" t="s">
        <v>9</v>
      </c>
      <c r="B38" s="1" t="s">
        <v>55</v>
      </c>
      <c r="C38" s="1" t="s">
        <v>18</v>
      </c>
      <c r="D38" s="1" t="s">
        <v>39</v>
      </c>
      <c r="E38" s="2">
        <v>840.92</v>
      </c>
      <c r="F38" s="2">
        <v>9</v>
      </c>
      <c r="G38" s="2">
        <v>0.05</v>
      </c>
      <c r="H38" s="3">
        <v>45429</v>
      </c>
      <c r="I38" s="2">
        <v>359.49</v>
      </c>
      <c r="J38" s="24">
        <f t="shared" ca="1" si="0"/>
        <v>46309.874604861114</v>
      </c>
      <c r="K38" s="24"/>
      <c r="L38" s="24"/>
      <c r="M38" s="5"/>
    </row>
    <row r="39" spans="1:13" ht="15.75" thickBot="1" x14ac:dyDescent="0.3">
      <c r="A39" s="1" t="s">
        <v>52</v>
      </c>
      <c r="B39" s="1" t="s">
        <v>48</v>
      </c>
      <c r="C39" s="1" t="s">
        <v>34</v>
      </c>
      <c r="D39" s="1" t="s">
        <v>27</v>
      </c>
      <c r="E39" s="2">
        <v>1410.06</v>
      </c>
      <c r="F39" s="2">
        <v>11</v>
      </c>
      <c r="G39" s="2">
        <v>0.05</v>
      </c>
      <c r="H39" s="3">
        <v>45434</v>
      </c>
      <c r="I39" s="2">
        <v>468.84</v>
      </c>
      <c r="J39" s="24">
        <f t="shared" ca="1" si="0"/>
        <v>46309.874604861114</v>
      </c>
      <c r="K39" s="24"/>
      <c r="L39" s="24"/>
      <c r="M39" s="5"/>
    </row>
    <row r="40" spans="1:13" ht="15.75" thickBot="1" x14ac:dyDescent="0.3">
      <c r="A40" s="1" t="s">
        <v>44</v>
      </c>
      <c r="B40" s="1" t="s">
        <v>59</v>
      </c>
      <c r="C40" s="1" t="s">
        <v>34</v>
      </c>
      <c r="D40" s="1" t="s">
        <v>27</v>
      </c>
      <c r="E40" s="2">
        <v>773.09</v>
      </c>
      <c r="F40" s="2">
        <v>13</v>
      </c>
      <c r="G40" s="2">
        <v>0.15</v>
      </c>
      <c r="H40" s="3">
        <v>45434</v>
      </c>
      <c r="I40" s="2">
        <v>229.99</v>
      </c>
      <c r="J40" s="24">
        <f t="shared" ca="1" si="0"/>
        <v>46309.874604861114</v>
      </c>
      <c r="K40" s="24"/>
      <c r="L40" s="24"/>
      <c r="M40" s="5"/>
    </row>
    <row r="41" spans="1:13" ht="15.75" thickBot="1" x14ac:dyDescent="0.3">
      <c r="A41" s="1" t="s">
        <v>60</v>
      </c>
      <c r="B41" s="1" t="s">
        <v>61</v>
      </c>
      <c r="C41" s="1" t="s">
        <v>18</v>
      </c>
      <c r="D41" s="1" t="s">
        <v>12</v>
      </c>
      <c r="E41" s="2">
        <v>580.42999999999995</v>
      </c>
      <c r="F41" s="2">
        <v>19</v>
      </c>
      <c r="G41" s="2">
        <v>0.15</v>
      </c>
      <c r="H41" s="3">
        <v>45435</v>
      </c>
      <c r="I41" s="2">
        <v>197.35</v>
      </c>
      <c r="J41" s="24">
        <f t="shared" ca="1" si="0"/>
        <v>46309.874604861114</v>
      </c>
      <c r="K41" s="24"/>
      <c r="L41" s="24"/>
      <c r="M41" s="6"/>
    </row>
    <row r="42" spans="1:13" ht="15.75" thickBot="1" x14ac:dyDescent="0.3">
      <c r="A42" s="1" t="s">
        <v>19</v>
      </c>
      <c r="B42" s="1" t="s">
        <v>42</v>
      </c>
      <c r="C42" s="1" t="s">
        <v>20</v>
      </c>
      <c r="D42" s="1" t="s">
        <v>12</v>
      </c>
      <c r="E42" s="2">
        <v>1151.21</v>
      </c>
      <c r="F42" s="2">
        <v>15</v>
      </c>
      <c r="G42" s="2">
        <v>0.1</v>
      </c>
      <c r="H42" s="3">
        <v>45445</v>
      </c>
      <c r="I42" s="2">
        <v>414.44</v>
      </c>
      <c r="J42" s="24">
        <f t="shared" ca="1" si="0"/>
        <v>46309.874604861114</v>
      </c>
      <c r="K42" s="24"/>
      <c r="L42" s="24"/>
      <c r="M42" s="5"/>
    </row>
    <row r="43" spans="1:13" ht="15.75" thickBot="1" x14ac:dyDescent="0.3">
      <c r="A43" s="1" t="s">
        <v>52</v>
      </c>
      <c r="B43" s="1" t="s">
        <v>23</v>
      </c>
      <c r="C43" s="1" t="s">
        <v>34</v>
      </c>
      <c r="D43" s="1" t="s">
        <v>39</v>
      </c>
      <c r="E43" s="2">
        <v>1025.98</v>
      </c>
      <c r="F43" s="2">
        <v>5</v>
      </c>
      <c r="G43" s="2">
        <v>0.2</v>
      </c>
      <c r="H43" s="3">
        <v>45447</v>
      </c>
      <c r="I43" s="2">
        <v>369.35</v>
      </c>
      <c r="J43" s="24">
        <f t="shared" ca="1" si="0"/>
        <v>46309.874604861114</v>
      </c>
      <c r="K43" s="24"/>
      <c r="L43" s="24"/>
      <c r="M43" s="5"/>
    </row>
    <row r="44" spans="1:13" ht="15.75" thickBot="1" x14ac:dyDescent="0.3">
      <c r="A44" s="1" t="s">
        <v>40</v>
      </c>
      <c r="B44" s="1" t="s">
        <v>56</v>
      </c>
      <c r="C44" s="1" t="s">
        <v>18</v>
      </c>
      <c r="D44" s="1" t="s">
        <v>39</v>
      </c>
      <c r="E44" s="2">
        <v>556.41999999999996</v>
      </c>
      <c r="F44" s="2">
        <v>11</v>
      </c>
      <c r="G44" s="2">
        <v>0.15</v>
      </c>
      <c r="H44" s="3">
        <v>45447</v>
      </c>
      <c r="I44" s="2">
        <v>212.83</v>
      </c>
      <c r="J44" s="24">
        <f t="shared" ca="1" si="0"/>
        <v>46309.874604861114</v>
      </c>
      <c r="K44" s="24"/>
      <c r="L44" s="24"/>
      <c r="M44" s="5"/>
    </row>
    <row r="45" spans="1:13" ht="15.75" thickBot="1" x14ac:dyDescent="0.3">
      <c r="A45" s="1" t="s">
        <v>57</v>
      </c>
      <c r="B45" s="1" t="s">
        <v>23</v>
      </c>
      <c r="C45" s="1" t="s">
        <v>34</v>
      </c>
      <c r="D45" s="1" t="s">
        <v>12</v>
      </c>
      <c r="E45" s="2">
        <v>840.85</v>
      </c>
      <c r="F45" s="2">
        <v>19</v>
      </c>
      <c r="G45" s="2">
        <v>0.1</v>
      </c>
      <c r="H45" s="3">
        <v>45448</v>
      </c>
      <c r="I45" s="2">
        <v>302.70999999999998</v>
      </c>
      <c r="J45" s="24">
        <f t="shared" ca="1" si="0"/>
        <v>46309.874604861114</v>
      </c>
      <c r="K45" s="24"/>
      <c r="L45" s="24"/>
      <c r="M45" s="6"/>
    </row>
    <row r="46" spans="1:13" ht="15.75" thickBot="1" x14ac:dyDescent="0.3">
      <c r="A46" s="1" t="s">
        <v>30</v>
      </c>
      <c r="B46" s="1" t="s">
        <v>61</v>
      </c>
      <c r="C46" s="1" t="s">
        <v>24</v>
      </c>
      <c r="D46" s="1" t="s">
        <v>27</v>
      </c>
      <c r="E46" s="2">
        <v>1227.25</v>
      </c>
      <c r="F46" s="2">
        <v>12</v>
      </c>
      <c r="G46" s="2">
        <v>0.15</v>
      </c>
      <c r="H46" s="3">
        <v>45448</v>
      </c>
      <c r="I46" s="2">
        <v>365.11</v>
      </c>
      <c r="J46" s="24">
        <f t="shared" ca="1" si="0"/>
        <v>46309.874604861114</v>
      </c>
      <c r="K46" s="24"/>
      <c r="L46" s="24"/>
      <c r="M46" s="5"/>
    </row>
    <row r="47" spans="1:13" ht="15.75" thickBot="1" x14ac:dyDescent="0.3">
      <c r="A47" s="1" t="s">
        <v>16</v>
      </c>
      <c r="B47" s="1" t="s">
        <v>62</v>
      </c>
      <c r="C47" s="1" t="s">
        <v>34</v>
      </c>
      <c r="D47" s="1" t="s">
        <v>21</v>
      </c>
      <c r="E47" s="2">
        <v>856.7</v>
      </c>
      <c r="F47" s="2">
        <v>2</v>
      </c>
      <c r="G47" s="2">
        <v>0</v>
      </c>
      <c r="H47" s="3">
        <v>45449</v>
      </c>
      <c r="I47" s="2">
        <v>214.18</v>
      </c>
      <c r="J47" s="24">
        <f t="shared" ca="1" si="0"/>
        <v>46309.874604861114</v>
      </c>
      <c r="K47" s="24"/>
      <c r="L47" s="24"/>
      <c r="M47" s="5"/>
    </row>
    <row r="48" spans="1:13" ht="15.75" thickBot="1" x14ac:dyDescent="0.3">
      <c r="A48" s="1" t="s">
        <v>54</v>
      </c>
      <c r="B48" s="1" t="s">
        <v>56</v>
      </c>
      <c r="C48" s="1" t="s">
        <v>34</v>
      </c>
      <c r="D48" s="1" t="s">
        <v>39</v>
      </c>
      <c r="E48" s="2">
        <v>1225.42</v>
      </c>
      <c r="F48" s="2">
        <v>8</v>
      </c>
      <c r="G48" s="2">
        <v>0.15</v>
      </c>
      <c r="H48" s="3">
        <v>45449</v>
      </c>
      <c r="I48" s="2">
        <v>468.72</v>
      </c>
      <c r="J48" s="24">
        <f t="shared" ca="1" si="0"/>
        <v>46309.874604861114</v>
      </c>
      <c r="K48" s="24"/>
      <c r="L48" s="24"/>
      <c r="M48" s="5"/>
    </row>
    <row r="49" spans="1:13" ht="15.75" thickBot="1" x14ac:dyDescent="0.3">
      <c r="A49" s="1" t="s">
        <v>63</v>
      </c>
      <c r="B49" s="1" t="s">
        <v>31</v>
      </c>
      <c r="C49" s="1" t="s">
        <v>24</v>
      </c>
      <c r="D49" s="1" t="s">
        <v>39</v>
      </c>
      <c r="E49" s="2">
        <v>1001.57</v>
      </c>
      <c r="F49" s="2">
        <v>12</v>
      </c>
      <c r="G49" s="2">
        <v>0</v>
      </c>
      <c r="H49" s="3">
        <v>45450</v>
      </c>
      <c r="I49" s="2">
        <v>450.71</v>
      </c>
      <c r="J49" s="24">
        <f t="shared" ca="1" si="0"/>
        <v>46309.874604861114</v>
      </c>
      <c r="K49" s="24"/>
      <c r="L49" s="24"/>
      <c r="M49" s="6"/>
    </row>
    <row r="50" spans="1:13" ht="30.75" thickBot="1" x14ac:dyDescent="0.3">
      <c r="A50" s="1" t="s">
        <v>57</v>
      </c>
      <c r="B50" s="1" t="s">
        <v>26</v>
      </c>
      <c r="C50" s="1" t="s">
        <v>18</v>
      </c>
      <c r="D50" s="1" t="s">
        <v>27</v>
      </c>
      <c r="E50" s="2">
        <v>1186.8499999999999</v>
      </c>
      <c r="F50" s="2">
        <v>19</v>
      </c>
      <c r="G50" s="2">
        <v>0.2</v>
      </c>
      <c r="H50" s="3">
        <v>45451</v>
      </c>
      <c r="I50" s="2">
        <v>332.32</v>
      </c>
      <c r="J50" s="24">
        <f t="shared" ca="1" si="0"/>
        <v>46309.874604861114</v>
      </c>
      <c r="K50" s="24"/>
      <c r="L50" s="24"/>
      <c r="M50" s="5"/>
    </row>
    <row r="51" spans="1:13" ht="15.75" thickBot="1" x14ac:dyDescent="0.3">
      <c r="A51" s="1" t="s">
        <v>44</v>
      </c>
      <c r="B51" s="1" t="s">
        <v>51</v>
      </c>
      <c r="C51" s="1" t="s">
        <v>20</v>
      </c>
      <c r="D51" s="1" t="s">
        <v>21</v>
      </c>
      <c r="E51" s="2">
        <v>775.45</v>
      </c>
      <c r="F51" s="2">
        <v>6</v>
      </c>
      <c r="G51" s="2">
        <v>0.1</v>
      </c>
      <c r="H51" s="3">
        <v>45457</v>
      </c>
      <c r="I51" s="2">
        <v>174.48</v>
      </c>
      <c r="J51" s="24">
        <f t="shared" ca="1" si="0"/>
        <v>46309.874604861114</v>
      </c>
      <c r="K51" s="24"/>
      <c r="L51" s="24"/>
      <c r="M51" s="5"/>
    </row>
    <row r="52" spans="1:13" ht="15.75" thickBot="1" x14ac:dyDescent="0.3">
      <c r="A52" s="1" t="s">
        <v>25</v>
      </c>
      <c r="B52" s="1" t="s">
        <v>33</v>
      </c>
      <c r="C52" s="1" t="s">
        <v>20</v>
      </c>
      <c r="D52" s="1" t="s">
        <v>21</v>
      </c>
      <c r="E52" s="2">
        <v>1021.47</v>
      </c>
      <c r="F52" s="2">
        <v>6</v>
      </c>
      <c r="G52" s="2">
        <v>0.05</v>
      </c>
      <c r="H52" s="3">
        <v>45461</v>
      </c>
      <c r="I52" s="2">
        <v>242.6</v>
      </c>
      <c r="J52" s="24">
        <f t="shared" ca="1" si="0"/>
        <v>46309.874604861114</v>
      </c>
      <c r="K52" s="24"/>
      <c r="L52" s="24"/>
      <c r="M52" s="5"/>
    </row>
    <row r="53" spans="1:13" ht="15.75" thickBot="1" x14ac:dyDescent="0.3">
      <c r="A53" s="1" t="s">
        <v>58</v>
      </c>
      <c r="B53" s="1" t="s">
        <v>23</v>
      </c>
      <c r="C53" s="1" t="s">
        <v>20</v>
      </c>
      <c r="D53" s="1" t="s">
        <v>15</v>
      </c>
      <c r="E53" s="2">
        <v>1226.6199999999999</v>
      </c>
      <c r="F53" s="2">
        <v>7</v>
      </c>
      <c r="G53" s="2">
        <v>0.1</v>
      </c>
      <c r="H53" s="3">
        <v>45463</v>
      </c>
      <c r="I53" s="2">
        <v>551.98</v>
      </c>
      <c r="J53" s="24">
        <f t="shared" ca="1" si="0"/>
        <v>46309.874604861114</v>
      </c>
      <c r="K53" s="24"/>
      <c r="L53" s="24"/>
      <c r="M53" s="6"/>
    </row>
    <row r="54" spans="1:13" ht="15.75" thickBot="1" x14ac:dyDescent="0.3">
      <c r="A54" s="1" t="s">
        <v>22</v>
      </c>
      <c r="B54" s="1" t="s">
        <v>64</v>
      </c>
      <c r="C54" s="1" t="s">
        <v>20</v>
      </c>
      <c r="D54" s="1" t="s">
        <v>27</v>
      </c>
      <c r="E54" s="2">
        <v>1086.93</v>
      </c>
      <c r="F54" s="2">
        <v>2</v>
      </c>
      <c r="G54" s="2">
        <v>0</v>
      </c>
      <c r="H54" s="3">
        <v>45464</v>
      </c>
      <c r="I54" s="2">
        <v>380.43</v>
      </c>
      <c r="J54" s="24">
        <f t="shared" ca="1" si="0"/>
        <v>46309.874604861114</v>
      </c>
      <c r="K54" s="24"/>
      <c r="L54" s="24"/>
      <c r="M54" s="5"/>
    </row>
    <row r="55" spans="1:13" ht="15.75" thickBot="1" x14ac:dyDescent="0.3">
      <c r="A55" s="1" t="s">
        <v>65</v>
      </c>
      <c r="B55" s="1" t="s">
        <v>48</v>
      </c>
      <c r="C55" s="1" t="s">
        <v>11</v>
      </c>
      <c r="D55" s="1" t="s">
        <v>12</v>
      </c>
      <c r="E55" s="2">
        <v>942.9</v>
      </c>
      <c r="F55" s="2">
        <v>18</v>
      </c>
      <c r="G55" s="2">
        <v>0.1</v>
      </c>
      <c r="H55" s="3">
        <v>45466</v>
      </c>
      <c r="I55" s="2">
        <v>339.44</v>
      </c>
      <c r="J55" s="24">
        <f t="shared" ca="1" si="0"/>
        <v>46309.874604861114</v>
      </c>
      <c r="K55" s="24"/>
      <c r="L55" s="24"/>
      <c r="M55" s="5"/>
    </row>
    <row r="56" spans="1:13" ht="15.75" thickBot="1" x14ac:dyDescent="0.3">
      <c r="A56" s="1" t="s">
        <v>32</v>
      </c>
      <c r="B56" s="1" t="s">
        <v>38</v>
      </c>
      <c r="C56" s="1" t="s">
        <v>24</v>
      </c>
      <c r="D56" s="1" t="s">
        <v>21</v>
      </c>
      <c r="E56" s="2">
        <v>818.8</v>
      </c>
      <c r="F56" s="2">
        <v>15</v>
      </c>
      <c r="G56" s="2">
        <v>0.15</v>
      </c>
      <c r="H56" s="3">
        <v>45468</v>
      </c>
      <c r="I56" s="2">
        <v>173.99</v>
      </c>
      <c r="J56" s="24">
        <f t="shared" ca="1" si="0"/>
        <v>46309.874604861114</v>
      </c>
      <c r="K56" s="24"/>
      <c r="L56" s="24"/>
      <c r="M56" s="5"/>
    </row>
    <row r="57" spans="1:13" ht="30.75" thickBot="1" x14ac:dyDescent="0.3">
      <c r="A57" s="1" t="s">
        <v>19</v>
      </c>
      <c r="B57" s="1" t="s">
        <v>14</v>
      </c>
      <c r="C57" s="1" t="s">
        <v>20</v>
      </c>
      <c r="D57" s="1" t="s">
        <v>27</v>
      </c>
      <c r="E57" s="2">
        <v>919.04</v>
      </c>
      <c r="F57" s="2">
        <v>10</v>
      </c>
      <c r="G57" s="2">
        <v>0.2</v>
      </c>
      <c r="H57" s="3">
        <v>45468</v>
      </c>
      <c r="I57" s="2">
        <v>257.33</v>
      </c>
      <c r="J57" s="24">
        <f t="shared" ca="1" si="0"/>
        <v>46309.874604861114</v>
      </c>
      <c r="K57" s="24"/>
      <c r="L57" s="24"/>
      <c r="M57" s="6"/>
    </row>
    <row r="58" spans="1:13" ht="15.75" thickBot="1" x14ac:dyDescent="0.3">
      <c r="A58" s="1" t="s">
        <v>22</v>
      </c>
      <c r="B58" s="1" t="s">
        <v>66</v>
      </c>
      <c r="C58" s="1" t="s">
        <v>34</v>
      </c>
      <c r="D58" s="1" t="s">
        <v>12</v>
      </c>
      <c r="E58" s="2">
        <v>973.26</v>
      </c>
      <c r="F58" s="2">
        <v>11</v>
      </c>
      <c r="G58" s="2">
        <v>0</v>
      </c>
      <c r="H58" s="3">
        <v>45470</v>
      </c>
      <c r="I58" s="2">
        <v>389.3</v>
      </c>
      <c r="J58" s="24">
        <f t="shared" ca="1" si="0"/>
        <v>46309.874604861114</v>
      </c>
      <c r="K58" s="24"/>
      <c r="L58" s="24"/>
      <c r="M58" s="5"/>
    </row>
    <row r="59" spans="1:13" ht="15.75" thickBot="1" x14ac:dyDescent="0.3">
      <c r="A59" s="1" t="s">
        <v>41</v>
      </c>
      <c r="B59" s="1" t="s">
        <v>64</v>
      </c>
      <c r="C59" s="1" t="s">
        <v>24</v>
      </c>
      <c r="D59" s="1" t="s">
        <v>21</v>
      </c>
      <c r="E59" s="2">
        <v>741.61</v>
      </c>
      <c r="F59" s="2">
        <v>1</v>
      </c>
      <c r="G59" s="2">
        <v>0.2</v>
      </c>
      <c r="H59" s="3">
        <v>45471</v>
      </c>
      <c r="I59" s="2">
        <v>148.32</v>
      </c>
      <c r="J59" s="24">
        <f t="shared" ca="1" si="0"/>
        <v>46309.874604861114</v>
      </c>
      <c r="K59" s="24"/>
      <c r="L59" s="24"/>
      <c r="M59" s="5"/>
    </row>
    <row r="60" spans="1:13" ht="15.75" thickBot="1" x14ac:dyDescent="0.3">
      <c r="A60" s="1" t="s">
        <v>67</v>
      </c>
      <c r="B60" s="1" t="s">
        <v>38</v>
      </c>
      <c r="C60" s="1" t="s">
        <v>24</v>
      </c>
      <c r="D60" s="1" t="s">
        <v>12</v>
      </c>
      <c r="E60" s="2">
        <v>1248.82</v>
      </c>
      <c r="F60" s="2">
        <v>2</v>
      </c>
      <c r="G60" s="2">
        <v>0.1</v>
      </c>
      <c r="H60" s="3">
        <v>45473</v>
      </c>
      <c r="I60" s="2">
        <v>449.58</v>
      </c>
      <c r="J60" s="24">
        <f t="shared" ca="1" si="0"/>
        <v>46309.874604861114</v>
      </c>
      <c r="K60" s="24"/>
      <c r="L60" s="24"/>
      <c r="M60" s="5"/>
    </row>
    <row r="61" spans="1:13" ht="15.75" thickBot="1" x14ac:dyDescent="0.3">
      <c r="A61" s="1" t="s">
        <v>13</v>
      </c>
      <c r="B61" s="1" t="s">
        <v>59</v>
      </c>
      <c r="C61" s="1" t="s">
        <v>11</v>
      </c>
      <c r="D61" s="1" t="s">
        <v>15</v>
      </c>
      <c r="E61" s="2">
        <v>1360.36</v>
      </c>
      <c r="F61" s="2">
        <v>17</v>
      </c>
      <c r="G61" s="2">
        <v>0</v>
      </c>
      <c r="H61" s="3">
        <v>45473</v>
      </c>
      <c r="I61" s="2">
        <v>680.18</v>
      </c>
      <c r="J61" s="24">
        <f t="shared" ca="1" si="0"/>
        <v>46309.874604861114</v>
      </c>
      <c r="K61" s="24"/>
      <c r="L61" s="24"/>
      <c r="M61" s="6"/>
    </row>
    <row r="62" spans="1:13" ht="15.75" thickBot="1" x14ac:dyDescent="0.3">
      <c r="A62" s="1" t="s">
        <v>57</v>
      </c>
      <c r="B62" s="1" t="s">
        <v>31</v>
      </c>
      <c r="C62" s="1" t="s">
        <v>18</v>
      </c>
      <c r="D62" s="1" t="s">
        <v>12</v>
      </c>
      <c r="E62" s="2">
        <v>1383.3</v>
      </c>
      <c r="F62" s="2">
        <v>8</v>
      </c>
      <c r="G62" s="2">
        <v>0.1</v>
      </c>
      <c r="H62" s="3">
        <v>45478</v>
      </c>
      <c r="I62" s="2">
        <v>497.99</v>
      </c>
      <c r="J62" s="24">
        <f t="shared" ca="1" si="0"/>
        <v>46309.874604861114</v>
      </c>
      <c r="K62" s="24"/>
      <c r="L62" s="24"/>
      <c r="M62" s="5"/>
    </row>
    <row r="63" spans="1:13" ht="15.75" thickBot="1" x14ac:dyDescent="0.3">
      <c r="A63" s="1" t="s">
        <v>35</v>
      </c>
      <c r="B63" s="1" t="s">
        <v>55</v>
      </c>
      <c r="C63" s="1" t="s">
        <v>34</v>
      </c>
      <c r="D63" s="1" t="s">
        <v>39</v>
      </c>
      <c r="E63" s="2">
        <v>488.99</v>
      </c>
      <c r="F63" s="2">
        <v>9</v>
      </c>
      <c r="G63" s="2">
        <v>0</v>
      </c>
      <c r="H63" s="3">
        <v>45479</v>
      </c>
      <c r="I63" s="2">
        <v>220.05</v>
      </c>
      <c r="J63" s="24">
        <f t="shared" ca="1" si="0"/>
        <v>46309.874604861114</v>
      </c>
      <c r="K63" s="24"/>
      <c r="L63" s="24"/>
      <c r="M63" s="5"/>
    </row>
    <row r="64" spans="1:13" ht="15.75" thickBot="1" x14ac:dyDescent="0.3">
      <c r="A64" s="1" t="s">
        <v>30</v>
      </c>
      <c r="B64" s="1" t="s">
        <v>31</v>
      </c>
      <c r="C64" s="1" t="s">
        <v>18</v>
      </c>
      <c r="D64" s="1" t="s">
        <v>27</v>
      </c>
      <c r="E64" s="2">
        <v>933.71</v>
      </c>
      <c r="F64" s="2">
        <v>17</v>
      </c>
      <c r="G64" s="2">
        <v>0.1</v>
      </c>
      <c r="H64" s="3">
        <v>45481</v>
      </c>
      <c r="I64" s="2">
        <v>294.12</v>
      </c>
      <c r="J64" s="24">
        <f t="shared" ca="1" si="0"/>
        <v>46309.874604861114</v>
      </c>
      <c r="K64" s="24"/>
      <c r="L64" s="24"/>
      <c r="M64" s="5"/>
    </row>
    <row r="65" spans="1:13" ht="15.75" thickBot="1" x14ac:dyDescent="0.3">
      <c r="A65" s="1" t="s">
        <v>67</v>
      </c>
      <c r="B65" s="1" t="s">
        <v>10</v>
      </c>
      <c r="C65" s="1" t="s">
        <v>11</v>
      </c>
      <c r="D65" s="1" t="s">
        <v>21</v>
      </c>
      <c r="E65" s="2">
        <v>1005.53</v>
      </c>
      <c r="F65" s="2">
        <v>17</v>
      </c>
      <c r="G65" s="2">
        <v>0.2</v>
      </c>
      <c r="H65" s="3">
        <v>45481</v>
      </c>
      <c r="I65" s="2">
        <v>201.11</v>
      </c>
      <c r="J65" s="24">
        <f t="shared" ca="1" si="0"/>
        <v>46309.874604861114</v>
      </c>
      <c r="K65" s="24"/>
      <c r="L65" s="24"/>
      <c r="M65" s="6"/>
    </row>
    <row r="66" spans="1:13" ht="15.75" thickBot="1" x14ac:dyDescent="0.3">
      <c r="A66" s="1" t="s">
        <v>41</v>
      </c>
      <c r="B66" s="1" t="s">
        <v>61</v>
      </c>
      <c r="C66" s="1" t="s">
        <v>20</v>
      </c>
      <c r="D66" s="1" t="s">
        <v>21</v>
      </c>
      <c r="E66" s="2">
        <v>1100.0999999999999</v>
      </c>
      <c r="F66" s="2">
        <v>5</v>
      </c>
      <c r="G66" s="2">
        <v>0.05</v>
      </c>
      <c r="H66" s="3">
        <v>45482</v>
      </c>
      <c r="I66" s="2">
        <v>261.27</v>
      </c>
      <c r="J66" s="24">
        <f t="shared" ca="1" si="0"/>
        <v>46309.874604861114</v>
      </c>
      <c r="K66" s="24"/>
      <c r="L66" s="24"/>
      <c r="M66" s="5"/>
    </row>
    <row r="67" spans="1:13" ht="15.75" thickBot="1" x14ac:dyDescent="0.3">
      <c r="A67" s="1" t="s">
        <v>67</v>
      </c>
      <c r="B67" s="1" t="s">
        <v>23</v>
      </c>
      <c r="C67" s="1" t="s">
        <v>24</v>
      </c>
      <c r="D67" s="1" t="s">
        <v>27</v>
      </c>
      <c r="E67" s="2">
        <v>1034.7</v>
      </c>
      <c r="F67" s="2">
        <v>15</v>
      </c>
      <c r="G67" s="2">
        <v>0.15</v>
      </c>
      <c r="H67" s="3">
        <v>45487</v>
      </c>
      <c r="I67" s="2">
        <v>307.82</v>
      </c>
      <c r="J67" s="24">
        <f t="shared" ref="J67:J130" ca="1" si="2">NOW()</f>
        <v>46309.874604861114</v>
      </c>
      <c r="K67" s="24"/>
      <c r="L67" s="24"/>
      <c r="M67" s="5"/>
    </row>
    <row r="68" spans="1:13" ht="15.75" thickBot="1" x14ac:dyDescent="0.3">
      <c r="A68" s="1" t="s">
        <v>65</v>
      </c>
      <c r="B68" s="1" t="s">
        <v>31</v>
      </c>
      <c r="C68" s="1" t="s">
        <v>20</v>
      </c>
      <c r="D68" s="1" t="s">
        <v>12</v>
      </c>
      <c r="E68" s="2">
        <v>876.44</v>
      </c>
      <c r="F68" s="2">
        <v>12</v>
      </c>
      <c r="G68" s="2">
        <v>0.05</v>
      </c>
      <c r="H68" s="3">
        <v>45488</v>
      </c>
      <c r="I68" s="2">
        <v>333.05</v>
      </c>
      <c r="J68" s="24">
        <f t="shared" ca="1" si="2"/>
        <v>46309.874604861114</v>
      </c>
      <c r="K68" s="24"/>
      <c r="L68" s="24"/>
      <c r="M68" s="5"/>
    </row>
    <row r="69" spans="1:13" ht="15.75" thickBot="1" x14ac:dyDescent="0.3">
      <c r="A69" s="1" t="s">
        <v>68</v>
      </c>
      <c r="B69" s="1" t="s">
        <v>55</v>
      </c>
      <c r="C69" s="1" t="s">
        <v>11</v>
      </c>
      <c r="D69" s="1" t="s">
        <v>27</v>
      </c>
      <c r="E69" s="2">
        <v>1371.34</v>
      </c>
      <c r="F69" s="2">
        <v>5</v>
      </c>
      <c r="G69" s="2">
        <v>0.05</v>
      </c>
      <c r="H69" s="3">
        <v>45488</v>
      </c>
      <c r="I69" s="2">
        <v>455.97</v>
      </c>
      <c r="J69" s="24">
        <f t="shared" ca="1" si="2"/>
        <v>46309.874604861114</v>
      </c>
      <c r="K69" s="24"/>
      <c r="L69" s="24"/>
      <c r="M69" s="6"/>
    </row>
    <row r="70" spans="1:13" ht="15.75" thickBot="1" x14ac:dyDescent="0.3">
      <c r="A70" s="1" t="s">
        <v>57</v>
      </c>
      <c r="B70" s="1" t="s">
        <v>47</v>
      </c>
      <c r="C70" s="1" t="s">
        <v>24</v>
      </c>
      <c r="D70" s="1" t="s">
        <v>21</v>
      </c>
      <c r="E70" s="2">
        <v>1020.26</v>
      </c>
      <c r="F70" s="2">
        <v>11</v>
      </c>
      <c r="G70" s="2">
        <v>0.05</v>
      </c>
      <c r="H70" s="3">
        <v>45494</v>
      </c>
      <c r="I70" s="2">
        <v>242.31</v>
      </c>
      <c r="J70" s="24">
        <f t="shared" ca="1" si="2"/>
        <v>46309.874604861114</v>
      </c>
      <c r="K70" s="24"/>
      <c r="L70" s="24"/>
      <c r="M70" s="5"/>
    </row>
    <row r="71" spans="1:13" ht="15.75" thickBot="1" x14ac:dyDescent="0.3">
      <c r="A71" s="1" t="s">
        <v>44</v>
      </c>
      <c r="B71" s="1" t="s">
        <v>10</v>
      </c>
      <c r="C71" s="1" t="s">
        <v>34</v>
      </c>
      <c r="D71" s="1" t="s">
        <v>39</v>
      </c>
      <c r="E71" s="2">
        <v>804.81</v>
      </c>
      <c r="F71" s="2">
        <v>1</v>
      </c>
      <c r="G71" s="2">
        <v>0.05</v>
      </c>
      <c r="H71" s="3">
        <v>45502</v>
      </c>
      <c r="I71" s="2">
        <v>344.06</v>
      </c>
      <c r="J71" s="24">
        <f t="shared" ca="1" si="2"/>
        <v>46309.874604861114</v>
      </c>
      <c r="K71" s="24"/>
      <c r="L71" s="24"/>
      <c r="M71" s="5"/>
    </row>
    <row r="72" spans="1:13" ht="15.75" thickBot="1" x14ac:dyDescent="0.3">
      <c r="A72" s="1" t="s">
        <v>22</v>
      </c>
      <c r="B72" s="1" t="s">
        <v>55</v>
      </c>
      <c r="C72" s="1" t="s">
        <v>34</v>
      </c>
      <c r="D72" s="1" t="s">
        <v>21</v>
      </c>
      <c r="E72" s="2">
        <v>608.66</v>
      </c>
      <c r="F72" s="2">
        <v>1</v>
      </c>
      <c r="G72" s="2">
        <v>0.05</v>
      </c>
      <c r="H72" s="3">
        <v>45503</v>
      </c>
      <c r="I72" s="2">
        <v>144.56</v>
      </c>
      <c r="J72" s="24">
        <f t="shared" ca="1" si="2"/>
        <v>46309.874604861114</v>
      </c>
      <c r="K72" s="24"/>
      <c r="L72" s="24"/>
      <c r="M72" s="5"/>
    </row>
    <row r="73" spans="1:13" ht="15.75" thickBot="1" x14ac:dyDescent="0.3">
      <c r="A73" s="1" t="s">
        <v>68</v>
      </c>
      <c r="B73" s="1" t="s">
        <v>69</v>
      </c>
      <c r="C73" s="1" t="s">
        <v>20</v>
      </c>
      <c r="D73" s="1" t="s">
        <v>39</v>
      </c>
      <c r="E73" s="2">
        <v>981.2</v>
      </c>
      <c r="F73" s="2">
        <v>19</v>
      </c>
      <c r="G73" s="2">
        <v>0</v>
      </c>
      <c r="H73" s="3">
        <v>45504</v>
      </c>
      <c r="I73" s="2">
        <v>441.54</v>
      </c>
      <c r="J73" s="24">
        <f t="shared" ca="1" si="2"/>
        <v>46309.874604861114</v>
      </c>
      <c r="K73" s="24"/>
      <c r="L73" s="24"/>
      <c r="M73" s="6"/>
    </row>
    <row r="74" spans="1:13" ht="15.75" thickBot="1" x14ac:dyDescent="0.3">
      <c r="A74" s="1" t="s">
        <v>70</v>
      </c>
      <c r="B74" s="1" t="s">
        <v>55</v>
      </c>
      <c r="C74" s="1" t="s">
        <v>18</v>
      </c>
      <c r="D74" s="1" t="s">
        <v>21</v>
      </c>
      <c r="E74" s="2">
        <v>539.77</v>
      </c>
      <c r="F74" s="2">
        <v>10</v>
      </c>
      <c r="G74" s="2">
        <v>0.15</v>
      </c>
      <c r="H74" s="3">
        <v>45509</v>
      </c>
      <c r="I74" s="2">
        <v>114.7</v>
      </c>
      <c r="J74" s="24">
        <f t="shared" ca="1" si="2"/>
        <v>46309.874604861114</v>
      </c>
      <c r="K74" s="24"/>
      <c r="L74" s="24"/>
      <c r="M74" s="5"/>
    </row>
    <row r="75" spans="1:13" ht="15.75" thickBot="1" x14ac:dyDescent="0.3">
      <c r="A75" s="1" t="s">
        <v>13</v>
      </c>
      <c r="B75" s="1" t="s">
        <v>71</v>
      </c>
      <c r="C75" s="1" t="s">
        <v>20</v>
      </c>
      <c r="D75" s="1" t="s">
        <v>12</v>
      </c>
      <c r="E75" s="2">
        <v>804.45</v>
      </c>
      <c r="F75" s="2">
        <v>5</v>
      </c>
      <c r="G75" s="2">
        <v>0.2</v>
      </c>
      <c r="H75" s="3">
        <v>45509</v>
      </c>
      <c r="I75" s="2">
        <v>257.42</v>
      </c>
      <c r="J75" s="24">
        <f t="shared" ca="1" si="2"/>
        <v>46309.874604861114</v>
      </c>
      <c r="K75" s="24"/>
      <c r="L75" s="24"/>
      <c r="M75" s="5"/>
    </row>
    <row r="76" spans="1:13" ht="15.75" thickBot="1" x14ac:dyDescent="0.3">
      <c r="A76" s="1" t="s">
        <v>70</v>
      </c>
      <c r="B76" s="1" t="s">
        <v>38</v>
      </c>
      <c r="C76" s="1" t="s">
        <v>11</v>
      </c>
      <c r="D76" s="1" t="s">
        <v>21</v>
      </c>
      <c r="E76" s="2">
        <v>1526.6</v>
      </c>
      <c r="F76" s="2">
        <v>13</v>
      </c>
      <c r="G76" s="2">
        <v>0.2</v>
      </c>
      <c r="H76" s="3">
        <v>45512</v>
      </c>
      <c r="I76" s="2">
        <v>305.32</v>
      </c>
      <c r="J76" s="24">
        <f t="shared" ca="1" si="2"/>
        <v>46309.874604861114</v>
      </c>
      <c r="K76" s="24"/>
      <c r="L76" s="24"/>
      <c r="M76" s="5"/>
    </row>
    <row r="77" spans="1:13" ht="15.75" thickBot="1" x14ac:dyDescent="0.3">
      <c r="A77" s="1" t="s">
        <v>13</v>
      </c>
      <c r="B77" s="1" t="s">
        <v>29</v>
      </c>
      <c r="C77" s="1" t="s">
        <v>11</v>
      </c>
      <c r="D77" s="1" t="s">
        <v>21</v>
      </c>
      <c r="E77" s="2">
        <v>1215.26</v>
      </c>
      <c r="F77" s="2">
        <v>5</v>
      </c>
      <c r="G77" s="2">
        <v>0.15</v>
      </c>
      <c r="H77" s="3">
        <v>45513</v>
      </c>
      <c r="I77" s="2">
        <v>258.24</v>
      </c>
      <c r="J77" s="24">
        <f t="shared" ca="1" si="2"/>
        <v>46309.874604861114</v>
      </c>
      <c r="K77" s="24"/>
      <c r="L77" s="24"/>
      <c r="M77" s="6"/>
    </row>
    <row r="78" spans="1:13" ht="15.75" thickBot="1" x14ac:dyDescent="0.3">
      <c r="A78" s="1" t="s">
        <v>19</v>
      </c>
      <c r="B78" s="1" t="s">
        <v>53</v>
      </c>
      <c r="C78" s="1" t="s">
        <v>34</v>
      </c>
      <c r="D78" s="1" t="s">
        <v>27</v>
      </c>
      <c r="E78" s="2">
        <v>1261.3399999999999</v>
      </c>
      <c r="F78" s="2">
        <v>3</v>
      </c>
      <c r="G78" s="2">
        <v>0</v>
      </c>
      <c r="H78" s="3">
        <v>45519</v>
      </c>
      <c r="I78" s="2">
        <v>441.47</v>
      </c>
      <c r="J78" s="24">
        <f t="shared" ca="1" si="2"/>
        <v>46309.874604861114</v>
      </c>
      <c r="K78" s="24"/>
      <c r="L78" s="24"/>
      <c r="M78" s="5"/>
    </row>
    <row r="79" spans="1:13" ht="15.75" thickBot="1" x14ac:dyDescent="0.3">
      <c r="A79" s="1" t="s">
        <v>72</v>
      </c>
      <c r="B79" s="1" t="s">
        <v>45</v>
      </c>
      <c r="C79" s="1" t="s">
        <v>24</v>
      </c>
      <c r="D79" s="1" t="s">
        <v>27</v>
      </c>
      <c r="E79" s="2">
        <v>518.07000000000005</v>
      </c>
      <c r="F79" s="2">
        <v>7</v>
      </c>
      <c r="G79" s="2">
        <v>0.05</v>
      </c>
      <c r="H79" s="3">
        <v>45522</v>
      </c>
      <c r="I79" s="2">
        <v>172.26</v>
      </c>
      <c r="J79" s="24">
        <f t="shared" ca="1" si="2"/>
        <v>46309.874604861114</v>
      </c>
      <c r="K79" s="24"/>
      <c r="L79" s="24"/>
      <c r="M79" s="5"/>
    </row>
    <row r="80" spans="1:13" ht="15.75" thickBot="1" x14ac:dyDescent="0.3">
      <c r="A80" s="1" t="s">
        <v>30</v>
      </c>
      <c r="B80" s="1" t="s">
        <v>29</v>
      </c>
      <c r="C80" s="1" t="s">
        <v>11</v>
      </c>
      <c r="D80" s="1" t="s">
        <v>39</v>
      </c>
      <c r="E80" s="2">
        <v>1111.3399999999999</v>
      </c>
      <c r="F80" s="2">
        <v>1</v>
      </c>
      <c r="G80" s="2">
        <v>0</v>
      </c>
      <c r="H80" s="3">
        <v>45523</v>
      </c>
      <c r="I80" s="2">
        <v>500.1</v>
      </c>
      <c r="J80" s="24">
        <f t="shared" ca="1" si="2"/>
        <v>46309.874604861114</v>
      </c>
      <c r="K80" s="24"/>
      <c r="L80" s="24"/>
      <c r="M80" s="5"/>
    </row>
    <row r="81" spans="1:13" ht="15.75" thickBot="1" x14ac:dyDescent="0.3">
      <c r="A81" s="1" t="s">
        <v>22</v>
      </c>
      <c r="B81" s="1" t="s">
        <v>31</v>
      </c>
      <c r="C81" s="1" t="s">
        <v>18</v>
      </c>
      <c r="D81" s="1" t="s">
        <v>15</v>
      </c>
      <c r="E81" s="2">
        <v>1291.47</v>
      </c>
      <c r="F81" s="2">
        <v>18</v>
      </c>
      <c r="G81" s="2">
        <v>0.1</v>
      </c>
      <c r="H81" s="3">
        <v>45526</v>
      </c>
      <c r="I81" s="2">
        <v>581.16</v>
      </c>
      <c r="J81" s="24">
        <f t="shared" ca="1" si="2"/>
        <v>46309.874604861114</v>
      </c>
      <c r="K81" s="24"/>
      <c r="L81" s="24"/>
      <c r="M81" s="6"/>
    </row>
    <row r="82" spans="1:13" ht="15.75" thickBot="1" x14ac:dyDescent="0.3">
      <c r="A82" s="1" t="s">
        <v>25</v>
      </c>
      <c r="B82" s="1" t="s">
        <v>55</v>
      </c>
      <c r="C82" s="1" t="s">
        <v>24</v>
      </c>
      <c r="D82" s="1" t="s">
        <v>12</v>
      </c>
      <c r="E82" s="2">
        <v>679.71</v>
      </c>
      <c r="F82" s="2">
        <v>19</v>
      </c>
      <c r="G82" s="2">
        <v>0</v>
      </c>
      <c r="H82" s="3">
        <v>45534</v>
      </c>
      <c r="I82" s="2">
        <v>271.88</v>
      </c>
      <c r="J82" s="24">
        <f t="shared" ca="1" si="2"/>
        <v>46309.874604861114</v>
      </c>
      <c r="K82" s="24"/>
      <c r="L82" s="24"/>
      <c r="M82" s="5"/>
    </row>
    <row r="83" spans="1:13" ht="15.75" thickBot="1" x14ac:dyDescent="0.3">
      <c r="A83" s="1" t="s">
        <v>68</v>
      </c>
      <c r="B83" s="1" t="s">
        <v>33</v>
      </c>
      <c r="C83" s="1" t="s">
        <v>18</v>
      </c>
      <c r="D83" s="1" t="s">
        <v>27</v>
      </c>
      <c r="E83" s="2">
        <v>1143.69</v>
      </c>
      <c r="F83" s="2">
        <v>17</v>
      </c>
      <c r="G83" s="2">
        <v>0</v>
      </c>
      <c r="H83" s="3">
        <v>45534</v>
      </c>
      <c r="I83" s="2">
        <v>400.29</v>
      </c>
      <c r="J83" s="24">
        <f t="shared" ca="1" si="2"/>
        <v>46309.874604861114</v>
      </c>
      <c r="K83" s="24"/>
      <c r="L83" s="24"/>
      <c r="M83" s="5"/>
    </row>
    <row r="84" spans="1:13" ht="15.75" thickBot="1" x14ac:dyDescent="0.3">
      <c r="A84" s="1" t="s">
        <v>52</v>
      </c>
      <c r="B84" s="1" t="s">
        <v>50</v>
      </c>
      <c r="C84" s="1" t="s">
        <v>34</v>
      </c>
      <c r="D84" s="1" t="s">
        <v>21</v>
      </c>
      <c r="E84" s="2">
        <v>790.08</v>
      </c>
      <c r="F84" s="2">
        <v>7</v>
      </c>
      <c r="G84" s="2">
        <v>0.1</v>
      </c>
      <c r="H84" s="3">
        <v>45536</v>
      </c>
      <c r="I84" s="2">
        <v>177.77</v>
      </c>
      <c r="J84" s="24">
        <f t="shared" ca="1" si="2"/>
        <v>46309.874604861114</v>
      </c>
      <c r="K84" s="24"/>
      <c r="L84" s="24"/>
      <c r="M84" s="5"/>
    </row>
    <row r="85" spans="1:13" ht="15.75" thickBot="1" x14ac:dyDescent="0.3">
      <c r="A85" s="1" t="s">
        <v>19</v>
      </c>
      <c r="B85" s="1" t="s">
        <v>48</v>
      </c>
      <c r="C85" s="1" t="s">
        <v>34</v>
      </c>
      <c r="D85" s="1" t="s">
        <v>12</v>
      </c>
      <c r="E85" s="2">
        <v>1070.68</v>
      </c>
      <c r="F85" s="2">
        <v>7</v>
      </c>
      <c r="G85" s="2">
        <v>0.05</v>
      </c>
      <c r="H85" s="3">
        <v>45536</v>
      </c>
      <c r="I85" s="2">
        <v>406.86</v>
      </c>
      <c r="J85" s="24">
        <f t="shared" ca="1" si="2"/>
        <v>46309.874604861114</v>
      </c>
      <c r="K85" s="24"/>
      <c r="L85" s="24"/>
      <c r="M85" s="6"/>
    </row>
    <row r="86" spans="1:13" ht="15.75" thickBot="1" x14ac:dyDescent="0.3">
      <c r="A86" s="1" t="s">
        <v>58</v>
      </c>
      <c r="B86" s="1" t="s">
        <v>36</v>
      </c>
      <c r="C86" s="1" t="s">
        <v>11</v>
      </c>
      <c r="D86" s="1" t="s">
        <v>15</v>
      </c>
      <c r="E86" s="2">
        <v>1168.8900000000001</v>
      </c>
      <c r="F86" s="2">
        <v>4</v>
      </c>
      <c r="G86" s="2">
        <v>0.1</v>
      </c>
      <c r="H86" s="3">
        <v>45544</v>
      </c>
      <c r="I86" s="2">
        <v>526</v>
      </c>
      <c r="J86" s="24">
        <f t="shared" ca="1" si="2"/>
        <v>46309.874604861114</v>
      </c>
      <c r="K86" s="24"/>
      <c r="L86" s="24"/>
      <c r="M86" s="5"/>
    </row>
    <row r="87" spans="1:13" ht="15.75" thickBot="1" x14ac:dyDescent="0.3">
      <c r="A87" s="1" t="s">
        <v>67</v>
      </c>
      <c r="B87" s="1" t="s">
        <v>10</v>
      </c>
      <c r="C87" s="1" t="s">
        <v>20</v>
      </c>
      <c r="D87" s="1" t="s">
        <v>21</v>
      </c>
      <c r="E87" s="2">
        <v>1335.87</v>
      </c>
      <c r="F87" s="2">
        <v>17</v>
      </c>
      <c r="G87" s="2">
        <v>0</v>
      </c>
      <c r="H87" s="3">
        <v>45544</v>
      </c>
      <c r="I87" s="2">
        <v>333.97</v>
      </c>
      <c r="J87" s="24">
        <f t="shared" ca="1" si="2"/>
        <v>46309.874604861114</v>
      </c>
      <c r="K87" s="24"/>
      <c r="L87" s="24"/>
      <c r="M87" s="5"/>
    </row>
    <row r="88" spans="1:13" ht="15.75" thickBot="1" x14ac:dyDescent="0.3">
      <c r="A88" s="1" t="s">
        <v>40</v>
      </c>
      <c r="B88" s="1" t="s">
        <v>55</v>
      </c>
      <c r="C88" s="1" t="s">
        <v>18</v>
      </c>
      <c r="D88" s="1" t="s">
        <v>27</v>
      </c>
      <c r="E88" s="2">
        <v>873.7</v>
      </c>
      <c r="F88" s="2">
        <v>9</v>
      </c>
      <c r="G88" s="2">
        <v>0</v>
      </c>
      <c r="H88" s="3">
        <v>45546</v>
      </c>
      <c r="I88" s="2">
        <v>305.8</v>
      </c>
      <c r="J88" s="24">
        <f t="shared" ca="1" si="2"/>
        <v>46309.874604861114</v>
      </c>
      <c r="K88" s="24"/>
      <c r="L88" s="24"/>
      <c r="M88" s="5"/>
    </row>
    <row r="89" spans="1:13" ht="15.75" thickBot="1" x14ac:dyDescent="0.3">
      <c r="A89" s="1" t="s">
        <v>72</v>
      </c>
      <c r="B89" s="1" t="s">
        <v>64</v>
      </c>
      <c r="C89" s="1" t="s">
        <v>11</v>
      </c>
      <c r="D89" s="1" t="s">
        <v>39</v>
      </c>
      <c r="E89" s="2">
        <v>1443.98</v>
      </c>
      <c r="F89" s="2">
        <v>19</v>
      </c>
      <c r="G89" s="2">
        <v>0</v>
      </c>
      <c r="H89" s="3">
        <v>45547</v>
      </c>
      <c r="I89" s="2">
        <v>649.79</v>
      </c>
      <c r="J89" s="24">
        <f t="shared" ca="1" si="2"/>
        <v>46309.874604861114</v>
      </c>
      <c r="K89" s="24"/>
      <c r="L89" s="24"/>
      <c r="M89" s="6"/>
    </row>
    <row r="90" spans="1:13" ht="15.75" thickBot="1" x14ac:dyDescent="0.3">
      <c r="A90" s="1" t="s">
        <v>40</v>
      </c>
      <c r="B90" s="1" t="s">
        <v>23</v>
      </c>
      <c r="C90" s="1" t="s">
        <v>18</v>
      </c>
      <c r="D90" s="1" t="s">
        <v>39</v>
      </c>
      <c r="E90" s="2">
        <v>1154.33</v>
      </c>
      <c r="F90" s="2">
        <v>11</v>
      </c>
      <c r="G90" s="2">
        <v>0.15</v>
      </c>
      <c r="H90" s="3">
        <v>45549</v>
      </c>
      <c r="I90" s="2">
        <v>441.53</v>
      </c>
      <c r="J90" s="24">
        <f t="shared" ca="1" si="2"/>
        <v>46309.874604861114</v>
      </c>
      <c r="K90" s="24"/>
      <c r="L90" s="24"/>
      <c r="M90" s="5"/>
    </row>
    <row r="91" spans="1:13" ht="15.75" thickBot="1" x14ac:dyDescent="0.3">
      <c r="A91" s="1" t="s">
        <v>49</v>
      </c>
      <c r="B91" s="1" t="s">
        <v>50</v>
      </c>
      <c r="C91" s="1" t="s">
        <v>20</v>
      </c>
      <c r="D91" s="1" t="s">
        <v>12</v>
      </c>
      <c r="E91" s="2">
        <v>1264.49</v>
      </c>
      <c r="F91" s="2">
        <v>16</v>
      </c>
      <c r="G91" s="2">
        <v>0.05</v>
      </c>
      <c r="H91" s="3">
        <v>45549</v>
      </c>
      <c r="I91" s="2">
        <v>480.51</v>
      </c>
      <c r="J91" s="24">
        <f t="shared" ca="1" si="2"/>
        <v>46309.874604861114</v>
      </c>
      <c r="K91" s="24"/>
      <c r="L91" s="24"/>
      <c r="M91" s="5"/>
    </row>
    <row r="92" spans="1:13" ht="15.75" thickBot="1" x14ac:dyDescent="0.3">
      <c r="A92" s="1" t="s">
        <v>25</v>
      </c>
      <c r="B92" s="1" t="s">
        <v>66</v>
      </c>
      <c r="C92" s="1" t="s">
        <v>11</v>
      </c>
      <c r="D92" s="1" t="s">
        <v>27</v>
      </c>
      <c r="E92" s="2">
        <v>1101.55</v>
      </c>
      <c r="F92" s="2">
        <v>4</v>
      </c>
      <c r="G92" s="2">
        <v>0.1</v>
      </c>
      <c r="H92" s="3">
        <v>45551</v>
      </c>
      <c r="I92" s="2">
        <v>346.99</v>
      </c>
      <c r="J92" s="24">
        <f t="shared" ca="1" si="2"/>
        <v>46309.874604861114</v>
      </c>
      <c r="K92" s="24"/>
      <c r="L92" s="24"/>
      <c r="M92" s="5"/>
    </row>
    <row r="93" spans="1:13" ht="30.75" thickBot="1" x14ac:dyDescent="0.3">
      <c r="A93" s="1" t="s">
        <v>73</v>
      </c>
      <c r="B93" s="1" t="s">
        <v>14</v>
      </c>
      <c r="C93" s="1" t="s">
        <v>20</v>
      </c>
      <c r="D93" s="1" t="s">
        <v>27</v>
      </c>
      <c r="E93" s="2">
        <v>727.73</v>
      </c>
      <c r="F93" s="2">
        <v>1</v>
      </c>
      <c r="G93" s="2">
        <v>0.1</v>
      </c>
      <c r="H93" s="3">
        <v>45552</v>
      </c>
      <c r="I93" s="2">
        <v>229.23</v>
      </c>
      <c r="J93" s="24">
        <f t="shared" ca="1" si="2"/>
        <v>46309.874604861114</v>
      </c>
      <c r="K93" s="24"/>
      <c r="L93" s="24"/>
      <c r="M93" s="6"/>
    </row>
    <row r="94" spans="1:13" ht="15.75" thickBot="1" x14ac:dyDescent="0.3">
      <c r="A94" s="1" t="s">
        <v>74</v>
      </c>
      <c r="B94" s="1" t="s">
        <v>38</v>
      </c>
      <c r="C94" s="1" t="s">
        <v>18</v>
      </c>
      <c r="D94" s="1" t="s">
        <v>39</v>
      </c>
      <c r="E94" s="2">
        <v>875.41</v>
      </c>
      <c r="F94" s="2">
        <v>13</v>
      </c>
      <c r="G94" s="2">
        <v>0.15</v>
      </c>
      <c r="H94" s="3">
        <v>45552</v>
      </c>
      <c r="I94" s="2">
        <v>334.84</v>
      </c>
      <c r="J94" s="24">
        <f t="shared" ca="1" si="2"/>
        <v>46309.874604861114</v>
      </c>
      <c r="K94" s="24"/>
      <c r="L94" s="24"/>
      <c r="M94" s="5"/>
    </row>
    <row r="95" spans="1:13" ht="15.75" thickBot="1" x14ac:dyDescent="0.3">
      <c r="A95" s="1" t="s">
        <v>67</v>
      </c>
      <c r="B95" s="1" t="s">
        <v>23</v>
      </c>
      <c r="C95" s="1" t="s">
        <v>11</v>
      </c>
      <c r="D95" s="1" t="s">
        <v>21</v>
      </c>
      <c r="E95" s="2">
        <v>1158.94</v>
      </c>
      <c r="F95" s="2">
        <v>19</v>
      </c>
      <c r="G95" s="2">
        <v>0.2</v>
      </c>
      <c r="H95" s="3">
        <v>45553</v>
      </c>
      <c r="I95" s="2">
        <v>231.79</v>
      </c>
      <c r="J95" s="24">
        <f t="shared" ca="1" si="2"/>
        <v>46309.874604861114</v>
      </c>
      <c r="K95" s="24"/>
      <c r="L95" s="24"/>
      <c r="M95" s="5"/>
    </row>
    <row r="96" spans="1:13" ht="15.75" thickBot="1" x14ac:dyDescent="0.3">
      <c r="A96" s="1" t="s">
        <v>75</v>
      </c>
      <c r="B96" s="1" t="s">
        <v>47</v>
      </c>
      <c r="C96" s="1" t="s">
        <v>20</v>
      </c>
      <c r="D96" s="1" t="s">
        <v>12</v>
      </c>
      <c r="E96" s="2">
        <v>966.3</v>
      </c>
      <c r="F96" s="2">
        <v>2</v>
      </c>
      <c r="G96" s="2">
        <v>0.15</v>
      </c>
      <c r="H96" s="3">
        <v>45557</v>
      </c>
      <c r="I96" s="2">
        <v>328.54</v>
      </c>
      <c r="J96" s="24">
        <f t="shared" ca="1" si="2"/>
        <v>46309.874604861114</v>
      </c>
      <c r="K96" s="24"/>
      <c r="L96" s="24"/>
      <c r="M96" s="5"/>
    </row>
    <row r="97" spans="1:13" ht="15.75" thickBot="1" x14ac:dyDescent="0.3">
      <c r="A97" s="1" t="s">
        <v>68</v>
      </c>
      <c r="B97" s="1" t="s">
        <v>17</v>
      </c>
      <c r="C97" s="1" t="s">
        <v>20</v>
      </c>
      <c r="D97" s="1" t="s">
        <v>12</v>
      </c>
      <c r="E97" s="2">
        <v>917.48</v>
      </c>
      <c r="F97" s="2">
        <v>6</v>
      </c>
      <c r="G97" s="2">
        <v>0</v>
      </c>
      <c r="H97" s="3">
        <v>45558</v>
      </c>
      <c r="I97" s="2">
        <v>366.99</v>
      </c>
      <c r="J97" s="24">
        <f t="shared" ca="1" si="2"/>
        <v>46309.874604861114</v>
      </c>
      <c r="K97" s="24"/>
      <c r="L97" s="24"/>
      <c r="M97" s="6"/>
    </row>
    <row r="98" spans="1:13" ht="15.75" thickBot="1" x14ac:dyDescent="0.3">
      <c r="A98" s="1" t="s">
        <v>41</v>
      </c>
      <c r="B98" s="1" t="s">
        <v>61</v>
      </c>
      <c r="C98" s="1" t="s">
        <v>11</v>
      </c>
      <c r="D98" s="1" t="s">
        <v>27</v>
      </c>
      <c r="E98" s="2">
        <v>1172.97</v>
      </c>
      <c r="F98" s="2">
        <v>7</v>
      </c>
      <c r="G98" s="2">
        <v>0.15</v>
      </c>
      <c r="H98" s="3">
        <v>45559</v>
      </c>
      <c r="I98" s="2">
        <v>348.96</v>
      </c>
      <c r="J98" s="24">
        <f t="shared" ca="1" si="2"/>
        <v>46309.874604861114</v>
      </c>
      <c r="K98" s="24"/>
      <c r="L98" s="24"/>
      <c r="M98" s="5"/>
    </row>
    <row r="99" spans="1:13" ht="15.75" thickBot="1" x14ac:dyDescent="0.3">
      <c r="A99" s="1" t="s">
        <v>57</v>
      </c>
      <c r="B99" s="1" t="s">
        <v>23</v>
      </c>
      <c r="C99" s="1" t="s">
        <v>24</v>
      </c>
      <c r="D99" s="1" t="s">
        <v>15</v>
      </c>
      <c r="E99" s="2">
        <v>1205.82</v>
      </c>
      <c r="F99" s="2">
        <v>11</v>
      </c>
      <c r="G99" s="2">
        <v>0.1</v>
      </c>
      <c r="H99" s="3">
        <v>45559</v>
      </c>
      <c r="I99" s="2">
        <v>542.62</v>
      </c>
      <c r="J99" s="24">
        <f t="shared" ca="1" si="2"/>
        <v>46309.874604861114</v>
      </c>
      <c r="K99" s="24"/>
      <c r="L99" s="24"/>
      <c r="M99" s="5"/>
    </row>
    <row r="100" spans="1:13" ht="15.75" thickBot="1" x14ac:dyDescent="0.3">
      <c r="A100" s="1" t="s">
        <v>16</v>
      </c>
      <c r="B100" s="1" t="s">
        <v>64</v>
      </c>
      <c r="C100" s="1" t="s">
        <v>11</v>
      </c>
      <c r="D100" s="1" t="s">
        <v>39</v>
      </c>
      <c r="E100" s="2">
        <v>826.93</v>
      </c>
      <c r="F100" s="2">
        <v>10</v>
      </c>
      <c r="G100" s="2">
        <v>0.2</v>
      </c>
      <c r="H100" s="3">
        <v>45564</v>
      </c>
      <c r="I100" s="2">
        <v>297.69</v>
      </c>
      <c r="J100" s="24">
        <f t="shared" ca="1" si="2"/>
        <v>46309.874604861114</v>
      </c>
      <c r="K100" s="24"/>
      <c r="L100" s="24"/>
      <c r="M100" s="5"/>
    </row>
    <row r="101" spans="1:13" ht="15.75" thickBot="1" x14ac:dyDescent="0.3">
      <c r="A101" s="1" t="s">
        <v>67</v>
      </c>
      <c r="B101" s="1" t="s">
        <v>23</v>
      </c>
      <c r="C101" s="1" t="s">
        <v>34</v>
      </c>
      <c r="D101" s="1" t="s">
        <v>15</v>
      </c>
      <c r="E101" s="2">
        <v>902.19</v>
      </c>
      <c r="F101" s="2">
        <v>12</v>
      </c>
      <c r="G101" s="2">
        <v>0</v>
      </c>
      <c r="H101" s="3">
        <v>45564</v>
      </c>
      <c r="I101" s="2">
        <v>451.1</v>
      </c>
      <c r="J101" s="24">
        <f t="shared" ca="1" si="2"/>
        <v>46309.874604861114</v>
      </c>
      <c r="K101" s="24"/>
      <c r="L101" s="24"/>
      <c r="M101" s="6"/>
    </row>
    <row r="102" spans="1:13" ht="15.75" thickBot="1" x14ac:dyDescent="0.3">
      <c r="A102" s="1" t="s">
        <v>74</v>
      </c>
      <c r="B102" s="1" t="s">
        <v>38</v>
      </c>
      <c r="C102" s="1" t="s">
        <v>24</v>
      </c>
      <c r="D102" s="1" t="s">
        <v>12</v>
      </c>
      <c r="E102" s="2">
        <v>585.97</v>
      </c>
      <c r="F102" s="2">
        <v>17</v>
      </c>
      <c r="G102" s="2">
        <v>0.1</v>
      </c>
      <c r="H102" s="3">
        <v>45565</v>
      </c>
      <c r="I102" s="2">
        <v>210.95</v>
      </c>
      <c r="J102" s="24">
        <f t="shared" ca="1" si="2"/>
        <v>46309.874604861114</v>
      </c>
      <c r="K102" s="24"/>
      <c r="L102" s="24"/>
      <c r="M102" s="5"/>
    </row>
    <row r="103" spans="1:13" ht="30.75" thickBot="1" x14ac:dyDescent="0.3">
      <c r="A103" s="1" t="s">
        <v>60</v>
      </c>
      <c r="B103" s="1" t="s">
        <v>26</v>
      </c>
      <c r="C103" s="1" t="s">
        <v>24</v>
      </c>
      <c r="D103" s="1" t="s">
        <v>15</v>
      </c>
      <c r="E103" s="2">
        <v>990.19</v>
      </c>
      <c r="F103" s="2">
        <v>8</v>
      </c>
      <c r="G103" s="2">
        <v>0.1</v>
      </c>
      <c r="H103" s="3">
        <v>45565</v>
      </c>
      <c r="I103" s="2">
        <v>445.59</v>
      </c>
      <c r="J103" s="24">
        <f t="shared" ca="1" si="2"/>
        <v>46309.874604861114</v>
      </c>
      <c r="K103" s="24"/>
      <c r="L103" s="24"/>
      <c r="M103" s="5"/>
    </row>
    <row r="104" spans="1:13" ht="15.75" thickBot="1" x14ac:dyDescent="0.3">
      <c r="A104" s="1" t="s">
        <v>44</v>
      </c>
      <c r="B104" s="1" t="s">
        <v>56</v>
      </c>
      <c r="C104" s="1" t="s">
        <v>34</v>
      </c>
      <c r="D104" s="1" t="s">
        <v>21</v>
      </c>
      <c r="E104" s="2">
        <v>1014.09</v>
      </c>
      <c r="F104" s="2">
        <v>13</v>
      </c>
      <c r="G104" s="2">
        <v>0.2</v>
      </c>
      <c r="H104" s="3">
        <v>45567</v>
      </c>
      <c r="I104" s="2">
        <v>202.82</v>
      </c>
      <c r="J104" s="24">
        <f t="shared" ca="1" si="2"/>
        <v>46309.874604861114</v>
      </c>
      <c r="K104" s="24"/>
      <c r="L104" s="24"/>
      <c r="M104" s="5"/>
    </row>
    <row r="105" spans="1:13" ht="15.75" thickBot="1" x14ac:dyDescent="0.3">
      <c r="A105" s="1" t="s">
        <v>13</v>
      </c>
      <c r="B105" s="1" t="s">
        <v>48</v>
      </c>
      <c r="C105" s="1" t="s">
        <v>24</v>
      </c>
      <c r="D105" s="1" t="s">
        <v>21</v>
      </c>
      <c r="E105" s="2">
        <v>925.29</v>
      </c>
      <c r="F105" s="2">
        <v>17</v>
      </c>
      <c r="G105" s="2">
        <v>0</v>
      </c>
      <c r="H105" s="3">
        <v>45570</v>
      </c>
      <c r="I105" s="2">
        <v>231.32</v>
      </c>
      <c r="J105" s="24">
        <f t="shared" ca="1" si="2"/>
        <v>46309.874604861114</v>
      </c>
      <c r="K105" s="24"/>
      <c r="L105" s="24"/>
      <c r="M105" s="6"/>
    </row>
    <row r="106" spans="1:13" ht="15.75" thickBot="1" x14ac:dyDescent="0.3">
      <c r="A106" s="1" t="s">
        <v>54</v>
      </c>
      <c r="B106" s="1" t="s">
        <v>47</v>
      </c>
      <c r="C106" s="1" t="s">
        <v>18</v>
      </c>
      <c r="D106" s="1" t="s">
        <v>27</v>
      </c>
      <c r="E106" s="2">
        <v>1286.54</v>
      </c>
      <c r="F106" s="2">
        <v>8</v>
      </c>
      <c r="G106" s="2">
        <v>0</v>
      </c>
      <c r="H106" s="3">
        <v>45575</v>
      </c>
      <c r="I106" s="2">
        <v>450.29</v>
      </c>
      <c r="J106" s="24">
        <f t="shared" ca="1" si="2"/>
        <v>46309.874604861114</v>
      </c>
      <c r="K106" s="24"/>
      <c r="L106" s="24"/>
      <c r="M106" s="5"/>
    </row>
    <row r="107" spans="1:13" ht="15.75" thickBot="1" x14ac:dyDescent="0.3">
      <c r="A107" s="1" t="s">
        <v>37</v>
      </c>
      <c r="B107" s="1" t="s">
        <v>64</v>
      </c>
      <c r="C107" s="1" t="s">
        <v>20</v>
      </c>
      <c r="D107" s="1" t="s">
        <v>12</v>
      </c>
      <c r="E107" s="2">
        <v>961.62</v>
      </c>
      <c r="F107" s="2">
        <v>8</v>
      </c>
      <c r="G107" s="2">
        <v>0.2</v>
      </c>
      <c r="H107" s="3">
        <v>45577</v>
      </c>
      <c r="I107" s="2">
        <v>307.72000000000003</v>
      </c>
      <c r="J107" s="24">
        <f t="shared" ca="1" si="2"/>
        <v>46309.874604861114</v>
      </c>
      <c r="K107" s="24"/>
      <c r="L107" s="24"/>
      <c r="M107" s="5"/>
    </row>
    <row r="108" spans="1:13" ht="15.75" thickBot="1" x14ac:dyDescent="0.3">
      <c r="A108" s="1" t="s">
        <v>44</v>
      </c>
      <c r="B108" s="1" t="s">
        <v>23</v>
      </c>
      <c r="C108" s="1" t="s">
        <v>18</v>
      </c>
      <c r="D108" s="1" t="s">
        <v>12</v>
      </c>
      <c r="E108" s="2">
        <v>1081.1400000000001</v>
      </c>
      <c r="F108" s="2">
        <v>19</v>
      </c>
      <c r="G108" s="2">
        <v>0.15</v>
      </c>
      <c r="H108" s="3">
        <v>45577</v>
      </c>
      <c r="I108" s="2">
        <v>367.59</v>
      </c>
      <c r="J108" s="24">
        <f t="shared" ca="1" si="2"/>
        <v>46309.874604861114</v>
      </c>
      <c r="K108" s="24"/>
      <c r="L108" s="24"/>
      <c r="M108" s="5"/>
    </row>
    <row r="109" spans="1:13" ht="15.75" thickBot="1" x14ac:dyDescent="0.3">
      <c r="A109" s="1" t="s">
        <v>58</v>
      </c>
      <c r="B109" s="1" t="s">
        <v>23</v>
      </c>
      <c r="C109" s="1" t="s">
        <v>11</v>
      </c>
      <c r="D109" s="1" t="s">
        <v>15</v>
      </c>
      <c r="E109" s="2">
        <v>1923.66</v>
      </c>
      <c r="F109" s="2">
        <v>9</v>
      </c>
      <c r="G109" s="2">
        <v>0.2</v>
      </c>
      <c r="H109" s="3">
        <v>45580</v>
      </c>
      <c r="I109" s="2">
        <v>769.46</v>
      </c>
      <c r="J109" s="24">
        <f t="shared" ca="1" si="2"/>
        <v>46309.874604861114</v>
      </c>
      <c r="K109" s="24"/>
      <c r="L109" s="24"/>
      <c r="M109" s="6"/>
    </row>
    <row r="110" spans="1:13" ht="15.75" thickBot="1" x14ac:dyDescent="0.3">
      <c r="A110" s="1" t="s">
        <v>54</v>
      </c>
      <c r="B110" s="1" t="s">
        <v>66</v>
      </c>
      <c r="C110" s="1" t="s">
        <v>34</v>
      </c>
      <c r="D110" s="1" t="s">
        <v>15</v>
      </c>
      <c r="E110" s="2">
        <v>728.71</v>
      </c>
      <c r="F110" s="2">
        <v>14</v>
      </c>
      <c r="G110" s="2">
        <v>0.1</v>
      </c>
      <c r="H110" s="3">
        <v>45581</v>
      </c>
      <c r="I110" s="2">
        <v>327.92</v>
      </c>
      <c r="J110" s="24">
        <f t="shared" ca="1" si="2"/>
        <v>46309.874604861114</v>
      </c>
      <c r="K110" s="24"/>
      <c r="L110" s="24"/>
      <c r="M110" s="5"/>
    </row>
    <row r="111" spans="1:13" ht="15.75" thickBot="1" x14ac:dyDescent="0.3">
      <c r="A111" s="1" t="s">
        <v>9</v>
      </c>
      <c r="B111" s="1" t="s">
        <v>33</v>
      </c>
      <c r="C111" s="1" t="s">
        <v>34</v>
      </c>
      <c r="D111" s="1" t="s">
        <v>15</v>
      </c>
      <c r="E111" s="2">
        <v>1301.8900000000001</v>
      </c>
      <c r="F111" s="2">
        <v>7</v>
      </c>
      <c r="G111" s="2">
        <v>0.15</v>
      </c>
      <c r="H111" s="3">
        <v>45581</v>
      </c>
      <c r="I111" s="2">
        <v>553.29999999999995</v>
      </c>
      <c r="J111" s="24">
        <f t="shared" ca="1" si="2"/>
        <v>46309.874604861114</v>
      </c>
      <c r="K111" s="24"/>
      <c r="L111" s="24"/>
      <c r="M111" s="5"/>
    </row>
    <row r="112" spans="1:13" ht="15.75" thickBot="1" x14ac:dyDescent="0.3">
      <c r="A112" s="1" t="s">
        <v>70</v>
      </c>
      <c r="B112" s="1" t="s">
        <v>66</v>
      </c>
      <c r="C112" s="1" t="s">
        <v>18</v>
      </c>
      <c r="D112" s="1" t="s">
        <v>12</v>
      </c>
      <c r="E112" s="2">
        <v>980.18</v>
      </c>
      <c r="F112" s="2">
        <v>16</v>
      </c>
      <c r="G112" s="2">
        <v>0.1</v>
      </c>
      <c r="H112" s="3">
        <v>45582</v>
      </c>
      <c r="I112" s="2">
        <v>352.86</v>
      </c>
      <c r="J112" s="24">
        <f t="shared" ca="1" si="2"/>
        <v>46309.874604861114</v>
      </c>
      <c r="K112" s="24"/>
      <c r="L112" s="24"/>
      <c r="M112" s="5"/>
    </row>
    <row r="113" spans="1:13" ht="15.75" thickBot="1" x14ac:dyDescent="0.3">
      <c r="A113" s="1" t="s">
        <v>74</v>
      </c>
      <c r="B113" s="1" t="s">
        <v>23</v>
      </c>
      <c r="C113" s="1" t="s">
        <v>11</v>
      </c>
      <c r="D113" s="1" t="s">
        <v>15</v>
      </c>
      <c r="E113" s="2">
        <v>697.57</v>
      </c>
      <c r="F113" s="2">
        <v>17</v>
      </c>
      <c r="G113" s="2">
        <v>0.1</v>
      </c>
      <c r="H113" s="3">
        <v>45584</v>
      </c>
      <c r="I113" s="2">
        <v>313.91000000000003</v>
      </c>
      <c r="J113" s="24">
        <f t="shared" ca="1" si="2"/>
        <v>46309.874604861114</v>
      </c>
      <c r="K113" s="24"/>
      <c r="L113" s="24"/>
      <c r="M113" s="6"/>
    </row>
    <row r="114" spans="1:13" ht="15.75" thickBot="1" x14ac:dyDescent="0.3">
      <c r="A114" s="1" t="s">
        <v>46</v>
      </c>
      <c r="B114" s="1" t="s">
        <v>71</v>
      </c>
      <c r="C114" s="1" t="s">
        <v>11</v>
      </c>
      <c r="D114" s="1" t="s">
        <v>27</v>
      </c>
      <c r="E114" s="2">
        <v>1193.6099999999999</v>
      </c>
      <c r="F114" s="2">
        <v>1</v>
      </c>
      <c r="G114" s="2">
        <v>0.15</v>
      </c>
      <c r="H114" s="3">
        <v>45584</v>
      </c>
      <c r="I114" s="2">
        <v>355.1</v>
      </c>
      <c r="J114" s="24">
        <f t="shared" ca="1" si="2"/>
        <v>46309.874604861114</v>
      </c>
      <c r="K114" s="24"/>
      <c r="L114" s="24"/>
      <c r="M114" s="5"/>
    </row>
    <row r="115" spans="1:13" ht="15.75" thickBot="1" x14ac:dyDescent="0.3">
      <c r="A115" s="1" t="s">
        <v>32</v>
      </c>
      <c r="B115" s="1" t="s">
        <v>38</v>
      </c>
      <c r="C115" s="1" t="s">
        <v>20</v>
      </c>
      <c r="D115" s="1" t="s">
        <v>21</v>
      </c>
      <c r="E115" s="2">
        <v>771.02</v>
      </c>
      <c r="F115" s="2">
        <v>1</v>
      </c>
      <c r="G115" s="2">
        <v>0</v>
      </c>
      <c r="H115" s="3">
        <v>45585</v>
      </c>
      <c r="I115" s="2">
        <v>192.76</v>
      </c>
      <c r="J115" s="24">
        <f t="shared" ca="1" si="2"/>
        <v>46309.874604861114</v>
      </c>
      <c r="K115" s="24"/>
      <c r="L115" s="24"/>
      <c r="M115" s="5"/>
    </row>
    <row r="116" spans="1:13" ht="15.75" thickBot="1" x14ac:dyDescent="0.3">
      <c r="A116" s="1" t="s">
        <v>67</v>
      </c>
      <c r="B116" s="1" t="s">
        <v>69</v>
      </c>
      <c r="C116" s="1" t="s">
        <v>24</v>
      </c>
      <c r="D116" s="1" t="s">
        <v>15</v>
      </c>
      <c r="E116" s="2">
        <v>661.09</v>
      </c>
      <c r="F116" s="2">
        <v>1</v>
      </c>
      <c r="G116" s="2">
        <v>0.2</v>
      </c>
      <c r="H116" s="3">
        <v>45593</v>
      </c>
      <c r="I116" s="2">
        <v>264.44</v>
      </c>
      <c r="J116" s="24">
        <f t="shared" ca="1" si="2"/>
        <v>46309.874604861114</v>
      </c>
      <c r="K116" s="24"/>
      <c r="L116" s="24"/>
      <c r="M116" s="5"/>
    </row>
    <row r="117" spans="1:13" ht="15.75" thickBot="1" x14ac:dyDescent="0.3">
      <c r="A117" s="1" t="s">
        <v>13</v>
      </c>
      <c r="B117" s="1" t="s">
        <v>55</v>
      </c>
      <c r="C117" s="1" t="s">
        <v>11</v>
      </c>
      <c r="D117" s="1" t="s">
        <v>21</v>
      </c>
      <c r="E117" s="2">
        <v>688.83</v>
      </c>
      <c r="F117" s="2">
        <v>15</v>
      </c>
      <c r="G117" s="2">
        <v>0</v>
      </c>
      <c r="H117" s="3">
        <v>45595</v>
      </c>
      <c r="I117" s="2">
        <v>172.21</v>
      </c>
      <c r="J117" s="24">
        <f t="shared" ca="1" si="2"/>
        <v>46309.874604861114</v>
      </c>
      <c r="K117" s="24"/>
      <c r="L117" s="24"/>
      <c r="M117" s="6"/>
    </row>
    <row r="118" spans="1:13" ht="15.75" thickBot="1" x14ac:dyDescent="0.3">
      <c r="A118" s="1" t="s">
        <v>73</v>
      </c>
      <c r="B118" s="1" t="s">
        <v>29</v>
      </c>
      <c r="C118" s="1" t="s">
        <v>34</v>
      </c>
      <c r="D118" s="1" t="s">
        <v>12</v>
      </c>
      <c r="E118" s="2">
        <v>1249.0999999999999</v>
      </c>
      <c r="F118" s="2">
        <v>4</v>
      </c>
      <c r="G118" s="2">
        <v>0.05</v>
      </c>
      <c r="H118" s="3">
        <v>45597</v>
      </c>
      <c r="I118" s="2">
        <v>474.66</v>
      </c>
      <c r="J118" s="24">
        <f t="shared" ca="1" si="2"/>
        <v>46309.874604861114</v>
      </c>
      <c r="K118" s="24"/>
      <c r="L118" s="24"/>
      <c r="M118" s="5"/>
    </row>
    <row r="119" spans="1:13" ht="15.75" thickBot="1" x14ac:dyDescent="0.3">
      <c r="A119" s="1" t="s">
        <v>44</v>
      </c>
      <c r="B119" s="1" t="s">
        <v>23</v>
      </c>
      <c r="C119" s="1" t="s">
        <v>18</v>
      </c>
      <c r="D119" s="1" t="s">
        <v>39</v>
      </c>
      <c r="E119" s="2">
        <v>1014.22</v>
      </c>
      <c r="F119" s="2">
        <v>14</v>
      </c>
      <c r="G119" s="2">
        <v>0.05</v>
      </c>
      <c r="H119" s="3">
        <v>45599</v>
      </c>
      <c r="I119" s="2">
        <v>433.58</v>
      </c>
      <c r="J119" s="24">
        <f t="shared" ca="1" si="2"/>
        <v>46309.874604861114</v>
      </c>
      <c r="K119" s="24"/>
      <c r="L119" s="24"/>
      <c r="M119" s="5"/>
    </row>
    <row r="120" spans="1:13" ht="15.75" thickBot="1" x14ac:dyDescent="0.3">
      <c r="A120" s="1" t="s">
        <v>54</v>
      </c>
      <c r="B120" s="1" t="s">
        <v>48</v>
      </c>
      <c r="C120" s="1" t="s">
        <v>18</v>
      </c>
      <c r="D120" s="1" t="s">
        <v>12</v>
      </c>
      <c r="E120" s="2">
        <v>1010.58</v>
      </c>
      <c r="F120" s="2">
        <v>2</v>
      </c>
      <c r="G120" s="2">
        <v>0.15</v>
      </c>
      <c r="H120" s="3">
        <v>45605</v>
      </c>
      <c r="I120" s="2">
        <v>343.6</v>
      </c>
      <c r="J120" s="24">
        <f t="shared" ca="1" si="2"/>
        <v>46309.874604861114</v>
      </c>
      <c r="K120" s="24"/>
      <c r="L120" s="24"/>
      <c r="M120" s="5"/>
    </row>
    <row r="121" spans="1:13" ht="15.75" thickBot="1" x14ac:dyDescent="0.3">
      <c r="A121" s="1" t="s">
        <v>30</v>
      </c>
      <c r="B121" s="1" t="s">
        <v>59</v>
      </c>
      <c r="C121" s="1" t="s">
        <v>24</v>
      </c>
      <c r="D121" s="1" t="s">
        <v>27</v>
      </c>
      <c r="E121" s="2">
        <v>957.29</v>
      </c>
      <c r="F121" s="2">
        <v>4</v>
      </c>
      <c r="G121" s="2">
        <v>0.05</v>
      </c>
      <c r="H121" s="3">
        <v>45605</v>
      </c>
      <c r="I121" s="2">
        <v>318.3</v>
      </c>
      <c r="J121" s="24">
        <f t="shared" ca="1" si="2"/>
        <v>46309.874604861114</v>
      </c>
      <c r="K121" s="24"/>
      <c r="L121" s="24"/>
      <c r="M121" s="6"/>
    </row>
    <row r="122" spans="1:13" ht="15.75" thickBot="1" x14ac:dyDescent="0.3">
      <c r="A122" s="1" t="s">
        <v>28</v>
      </c>
      <c r="B122" s="1" t="s">
        <v>45</v>
      </c>
      <c r="C122" s="1" t="s">
        <v>24</v>
      </c>
      <c r="D122" s="1" t="s">
        <v>27</v>
      </c>
      <c r="E122" s="2">
        <v>1077.92</v>
      </c>
      <c r="F122" s="2">
        <v>3</v>
      </c>
      <c r="G122" s="2">
        <v>0.05</v>
      </c>
      <c r="H122" s="3">
        <v>45608</v>
      </c>
      <c r="I122" s="2">
        <v>358.41</v>
      </c>
      <c r="J122" s="24">
        <f t="shared" ca="1" si="2"/>
        <v>46309.874604861114</v>
      </c>
      <c r="K122" s="24"/>
      <c r="L122" s="24"/>
      <c r="M122" s="5"/>
    </row>
    <row r="123" spans="1:13" ht="15.75" thickBot="1" x14ac:dyDescent="0.3">
      <c r="A123" s="1" t="s">
        <v>52</v>
      </c>
      <c r="B123" s="1" t="s">
        <v>50</v>
      </c>
      <c r="C123" s="1" t="s">
        <v>20</v>
      </c>
      <c r="D123" s="1" t="s">
        <v>15</v>
      </c>
      <c r="E123" s="2">
        <v>1163.01</v>
      </c>
      <c r="F123" s="2">
        <v>5</v>
      </c>
      <c r="G123" s="2">
        <v>0</v>
      </c>
      <c r="H123" s="3">
        <v>45611</v>
      </c>
      <c r="I123" s="2">
        <v>581.5</v>
      </c>
      <c r="J123" s="24">
        <f t="shared" ca="1" si="2"/>
        <v>46309.874604861114</v>
      </c>
      <c r="K123" s="24"/>
      <c r="L123" s="24"/>
      <c r="M123" s="5"/>
    </row>
    <row r="124" spans="1:13" ht="15.75" thickBot="1" x14ac:dyDescent="0.3">
      <c r="A124" s="1" t="s">
        <v>54</v>
      </c>
      <c r="B124" s="1" t="s">
        <v>45</v>
      </c>
      <c r="C124" s="1" t="s">
        <v>18</v>
      </c>
      <c r="D124" s="1" t="s">
        <v>39</v>
      </c>
      <c r="E124" s="2">
        <v>1014.56</v>
      </c>
      <c r="F124" s="2">
        <v>10</v>
      </c>
      <c r="G124" s="2">
        <v>0.1</v>
      </c>
      <c r="H124" s="3">
        <v>45612</v>
      </c>
      <c r="I124" s="2">
        <v>410.9</v>
      </c>
      <c r="J124" s="24">
        <f t="shared" ca="1" si="2"/>
        <v>46309.874604861114</v>
      </c>
      <c r="K124" s="24"/>
      <c r="L124" s="24"/>
      <c r="M124" s="5"/>
    </row>
    <row r="125" spans="1:13" ht="15.75" thickBot="1" x14ac:dyDescent="0.3">
      <c r="A125" s="1" t="s">
        <v>9</v>
      </c>
      <c r="B125" s="1" t="s">
        <v>17</v>
      </c>
      <c r="C125" s="1" t="s">
        <v>20</v>
      </c>
      <c r="D125" s="1" t="s">
        <v>21</v>
      </c>
      <c r="E125" s="2">
        <v>718.04</v>
      </c>
      <c r="F125" s="2">
        <v>14</v>
      </c>
      <c r="G125" s="2">
        <v>0</v>
      </c>
      <c r="H125" s="3">
        <v>45613</v>
      </c>
      <c r="I125" s="2">
        <v>179.51</v>
      </c>
      <c r="J125" s="24">
        <f t="shared" ca="1" si="2"/>
        <v>46309.874604861114</v>
      </c>
      <c r="K125" s="24"/>
      <c r="L125" s="24"/>
      <c r="M125" s="6"/>
    </row>
    <row r="126" spans="1:13" ht="15.75" thickBot="1" x14ac:dyDescent="0.3">
      <c r="A126" s="1" t="s">
        <v>72</v>
      </c>
      <c r="B126" s="1" t="s">
        <v>17</v>
      </c>
      <c r="C126" s="1" t="s">
        <v>34</v>
      </c>
      <c r="D126" s="1" t="s">
        <v>15</v>
      </c>
      <c r="E126" s="2">
        <v>1277.8499999999999</v>
      </c>
      <c r="F126" s="2">
        <v>18</v>
      </c>
      <c r="G126" s="2">
        <v>0.2</v>
      </c>
      <c r="H126" s="3">
        <v>45613</v>
      </c>
      <c r="I126" s="2">
        <v>511.14</v>
      </c>
      <c r="J126" s="24">
        <f t="shared" ca="1" si="2"/>
        <v>46309.874604861114</v>
      </c>
      <c r="K126" s="24"/>
      <c r="L126" s="24"/>
      <c r="M126" s="5"/>
    </row>
    <row r="127" spans="1:13" ht="15.75" thickBot="1" x14ac:dyDescent="0.3">
      <c r="A127" s="1" t="s">
        <v>70</v>
      </c>
      <c r="B127" s="1" t="s">
        <v>23</v>
      </c>
      <c r="C127" s="1" t="s">
        <v>24</v>
      </c>
      <c r="D127" s="1" t="s">
        <v>21</v>
      </c>
      <c r="E127" s="2">
        <v>706.73</v>
      </c>
      <c r="F127" s="2">
        <v>1</v>
      </c>
      <c r="G127" s="2">
        <v>0.15</v>
      </c>
      <c r="H127" s="3">
        <v>45613</v>
      </c>
      <c r="I127" s="2">
        <v>150.18</v>
      </c>
      <c r="J127" s="24">
        <f t="shared" ca="1" si="2"/>
        <v>46309.874604861114</v>
      </c>
      <c r="K127" s="24"/>
      <c r="L127" s="24"/>
      <c r="M127" s="5"/>
    </row>
    <row r="128" spans="1:13" ht="15.75" thickBot="1" x14ac:dyDescent="0.3">
      <c r="A128" s="1" t="s">
        <v>65</v>
      </c>
      <c r="B128" s="1" t="s">
        <v>50</v>
      </c>
      <c r="C128" s="1" t="s">
        <v>18</v>
      </c>
      <c r="D128" s="1" t="s">
        <v>21</v>
      </c>
      <c r="E128" s="2">
        <v>1410.59</v>
      </c>
      <c r="F128" s="2">
        <v>15</v>
      </c>
      <c r="G128" s="2">
        <v>0</v>
      </c>
      <c r="H128" s="3">
        <v>45615</v>
      </c>
      <c r="I128" s="2">
        <v>352.65</v>
      </c>
      <c r="J128" s="24">
        <f t="shared" ca="1" si="2"/>
        <v>46309.874604861114</v>
      </c>
      <c r="K128" s="24"/>
      <c r="L128" s="24"/>
      <c r="M128" s="5"/>
    </row>
    <row r="129" spans="1:13" ht="15.75" thickBot="1" x14ac:dyDescent="0.3">
      <c r="A129" s="1" t="s">
        <v>32</v>
      </c>
      <c r="B129" s="1" t="s">
        <v>61</v>
      </c>
      <c r="C129" s="1" t="s">
        <v>20</v>
      </c>
      <c r="D129" s="1" t="s">
        <v>27</v>
      </c>
      <c r="E129" s="2">
        <v>1350.33</v>
      </c>
      <c r="F129" s="2">
        <v>10</v>
      </c>
      <c r="G129" s="2">
        <v>0</v>
      </c>
      <c r="H129" s="3">
        <v>45615</v>
      </c>
      <c r="I129" s="2">
        <v>472.62</v>
      </c>
      <c r="J129" s="24">
        <f t="shared" ca="1" si="2"/>
        <v>46309.874604861114</v>
      </c>
      <c r="K129" s="24"/>
      <c r="L129" s="24"/>
      <c r="M129" s="6"/>
    </row>
    <row r="130" spans="1:13" ht="15.75" thickBot="1" x14ac:dyDescent="0.3">
      <c r="A130" s="1" t="s">
        <v>41</v>
      </c>
      <c r="B130" s="1" t="s">
        <v>45</v>
      </c>
      <c r="C130" s="1" t="s">
        <v>18</v>
      </c>
      <c r="D130" s="1" t="s">
        <v>21</v>
      </c>
      <c r="E130" s="2">
        <v>919.18</v>
      </c>
      <c r="F130" s="2">
        <v>4</v>
      </c>
      <c r="G130" s="2">
        <v>0.15</v>
      </c>
      <c r="H130" s="3">
        <v>45615</v>
      </c>
      <c r="I130" s="2">
        <v>195.33</v>
      </c>
      <c r="J130" s="24">
        <f t="shared" ca="1" si="2"/>
        <v>46309.874604861114</v>
      </c>
      <c r="K130" s="24"/>
      <c r="L130" s="24"/>
      <c r="M130" s="5"/>
    </row>
    <row r="131" spans="1:13" ht="15.75" thickBot="1" x14ac:dyDescent="0.3">
      <c r="A131" s="1" t="s">
        <v>74</v>
      </c>
      <c r="B131" s="1" t="s">
        <v>23</v>
      </c>
      <c r="C131" s="1" t="s">
        <v>11</v>
      </c>
      <c r="D131" s="1" t="s">
        <v>21</v>
      </c>
      <c r="E131" s="2">
        <v>258.51</v>
      </c>
      <c r="F131" s="2">
        <v>19</v>
      </c>
      <c r="G131" s="2">
        <v>0</v>
      </c>
      <c r="H131" s="3">
        <v>45616</v>
      </c>
      <c r="I131" s="2">
        <v>64.63</v>
      </c>
      <c r="J131" s="24">
        <f t="shared" ref="J131:J194" ca="1" si="3">NOW()</f>
        <v>46309.874604861114</v>
      </c>
      <c r="K131" s="24"/>
      <c r="L131" s="24"/>
      <c r="M131" s="5"/>
    </row>
    <row r="132" spans="1:13" ht="15.75" thickBot="1" x14ac:dyDescent="0.3">
      <c r="A132" s="1" t="s">
        <v>63</v>
      </c>
      <c r="B132" s="1" t="s">
        <v>61</v>
      </c>
      <c r="C132" s="1" t="s">
        <v>18</v>
      </c>
      <c r="D132" s="1" t="s">
        <v>12</v>
      </c>
      <c r="E132" s="2">
        <v>1213.48</v>
      </c>
      <c r="F132" s="2">
        <v>5</v>
      </c>
      <c r="G132" s="2">
        <v>0.05</v>
      </c>
      <c r="H132" s="3">
        <v>45616</v>
      </c>
      <c r="I132" s="2">
        <v>461.12</v>
      </c>
      <c r="J132" s="24">
        <f t="shared" ca="1" si="3"/>
        <v>46309.874604861114</v>
      </c>
      <c r="K132" s="24"/>
      <c r="L132" s="24"/>
      <c r="M132" s="5"/>
    </row>
    <row r="133" spans="1:13" ht="15.75" thickBot="1" x14ac:dyDescent="0.3">
      <c r="A133" s="1" t="s">
        <v>57</v>
      </c>
      <c r="B133" s="1" t="s">
        <v>38</v>
      </c>
      <c r="C133" s="1" t="s">
        <v>34</v>
      </c>
      <c r="D133" s="1" t="s">
        <v>12</v>
      </c>
      <c r="E133" s="2">
        <v>1150.28</v>
      </c>
      <c r="F133" s="2">
        <v>8</v>
      </c>
      <c r="G133" s="2">
        <v>0.05</v>
      </c>
      <c r="H133" s="3">
        <v>45622</v>
      </c>
      <c r="I133" s="2">
        <v>437.11</v>
      </c>
      <c r="J133" s="24">
        <f t="shared" ca="1" si="3"/>
        <v>46309.874604861114</v>
      </c>
      <c r="K133" s="24"/>
      <c r="L133" s="24"/>
      <c r="M133" s="6"/>
    </row>
    <row r="134" spans="1:13" ht="15.75" thickBot="1" x14ac:dyDescent="0.3">
      <c r="A134" s="1" t="s">
        <v>37</v>
      </c>
      <c r="B134" s="1" t="s">
        <v>71</v>
      </c>
      <c r="C134" s="1" t="s">
        <v>20</v>
      </c>
      <c r="D134" s="1" t="s">
        <v>27</v>
      </c>
      <c r="E134" s="2">
        <v>853.86</v>
      </c>
      <c r="F134" s="2">
        <v>8</v>
      </c>
      <c r="G134" s="2">
        <v>0.1</v>
      </c>
      <c r="H134" s="3">
        <v>45622</v>
      </c>
      <c r="I134" s="2">
        <v>268.97000000000003</v>
      </c>
      <c r="J134" s="24">
        <f t="shared" ca="1" si="3"/>
        <v>46309.874604861114</v>
      </c>
      <c r="K134" s="24"/>
      <c r="L134" s="24"/>
      <c r="M134" s="5"/>
    </row>
    <row r="135" spans="1:13" ht="15.75" thickBot="1" x14ac:dyDescent="0.3">
      <c r="A135" s="1" t="s">
        <v>75</v>
      </c>
      <c r="B135" s="1" t="s">
        <v>45</v>
      </c>
      <c r="C135" s="1" t="s">
        <v>20</v>
      </c>
      <c r="D135" s="1" t="s">
        <v>21</v>
      </c>
      <c r="E135" s="2">
        <v>1061.04</v>
      </c>
      <c r="F135" s="2">
        <v>1</v>
      </c>
      <c r="G135" s="2">
        <v>0</v>
      </c>
      <c r="H135" s="3">
        <v>45624</v>
      </c>
      <c r="I135" s="2">
        <v>265.26</v>
      </c>
      <c r="J135" s="24">
        <f t="shared" ca="1" si="3"/>
        <v>46309.874604861114</v>
      </c>
      <c r="K135" s="24"/>
      <c r="L135" s="24"/>
      <c r="M135" s="5"/>
    </row>
    <row r="136" spans="1:13" ht="15.75" thickBot="1" x14ac:dyDescent="0.3">
      <c r="A136" s="1" t="s">
        <v>28</v>
      </c>
      <c r="B136" s="1" t="s">
        <v>43</v>
      </c>
      <c r="C136" s="1" t="s">
        <v>11</v>
      </c>
      <c r="D136" s="1" t="s">
        <v>21</v>
      </c>
      <c r="E136" s="2">
        <v>894.55</v>
      </c>
      <c r="F136" s="2">
        <v>19</v>
      </c>
      <c r="G136" s="2">
        <v>0.2</v>
      </c>
      <c r="H136" s="3">
        <v>45625</v>
      </c>
      <c r="I136" s="2">
        <v>178.91</v>
      </c>
      <c r="J136" s="24">
        <f t="shared" ca="1" si="3"/>
        <v>46309.874604861114</v>
      </c>
      <c r="K136" s="24"/>
      <c r="L136" s="24"/>
      <c r="M136" s="5"/>
    </row>
    <row r="137" spans="1:13" ht="15.75" thickBot="1" x14ac:dyDescent="0.3">
      <c r="A137" s="1" t="s">
        <v>25</v>
      </c>
      <c r="B137" s="1" t="s">
        <v>38</v>
      </c>
      <c r="C137" s="1" t="s">
        <v>24</v>
      </c>
      <c r="D137" s="1" t="s">
        <v>39</v>
      </c>
      <c r="E137" s="2">
        <v>833.91</v>
      </c>
      <c r="F137" s="2">
        <v>3</v>
      </c>
      <c r="G137" s="2">
        <v>0.05</v>
      </c>
      <c r="H137" s="3">
        <v>45626</v>
      </c>
      <c r="I137" s="2">
        <v>356.5</v>
      </c>
      <c r="J137" s="24">
        <f t="shared" ca="1" si="3"/>
        <v>46309.874604861114</v>
      </c>
      <c r="K137" s="24"/>
      <c r="L137" s="24"/>
      <c r="M137" s="6"/>
    </row>
    <row r="138" spans="1:13" ht="15.75" thickBot="1" x14ac:dyDescent="0.3">
      <c r="A138" s="1" t="s">
        <v>58</v>
      </c>
      <c r="B138" s="1" t="s">
        <v>71</v>
      </c>
      <c r="C138" s="1" t="s">
        <v>11</v>
      </c>
      <c r="D138" s="1" t="s">
        <v>27</v>
      </c>
      <c r="E138" s="2">
        <v>820.19</v>
      </c>
      <c r="F138" s="2">
        <v>4</v>
      </c>
      <c r="G138" s="2">
        <v>0.2</v>
      </c>
      <c r="H138" s="3">
        <v>45630</v>
      </c>
      <c r="I138" s="2">
        <v>229.65</v>
      </c>
      <c r="J138" s="24">
        <f t="shared" ca="1" si="3"/>
        <v>46309.874604861114</v>
      </c>
      <c r="K138" s="24"/>
      <c r="L138" s="24"/>
      <c r="M138" s="5"/>
    </row>
    <row r="139" spans="1:13" ht="15.75" thickBot="1" x14ac:dyDescent="0.3">
      <c r="A139" s="1" t="s">
        <v>58</v>
      </c>
      <c r="B139" s="1" t="s">
        <v>38</v>
      </c>
      <c r="C139" s="1" t="s">
        <v>34</v>
      </c>
      <c r="D139" s="1" t="s">
        <v>21</v>
      </c>
      <c r="E139" s="2">
        <v>511.74</v>
      </c>
      <c r="F139" s="2">
        <v>8</v>
      </c>
      <c r="G139" s="2">
        <v>0.05</v>
      </c>
      <c r="H139" s="3">
        <v>45631</v>
      </c>
      <c r="I139" s="2">
        <v>121.54</v>
      </c>
      <c r="J139" s="24">
        <f t="shared" ca="1" si="3"/>
        <v>46309.874604861114</v>
      </c>
      <c r="K139" s="24"/>
      <c r="L139" s="24"/>
      <c r="M139" s="5"/>
    </row>
    <row r="140" spans="1:13" ht="15.75" thickBot="1" x14ac:dyDescent="0.3">
      <c r="A140" s="1" t="s">
        <v>65</v>
      </c>
      <c r="B140" s="1" t="s">
        <v>61</v>
      </c>
      <c r="C140" s="1" t="s">
        <v>20</v>
      </c>
      <c r="D140" s="1" t="s">
        <v>27</v>
      </c>
      <c r="E140" s="2">
        <v>806.03</v>
      </c>
      <c r="F140" s="2">
        <v>19</v>
      </c>
      <c r="G140" s="2">
        <v>0.05</v>
      </c>
      <c r="H140" s="3">
        <v>45638</v>
      </c>
      <c r="I140" s="2">
        <v>268</v>
      </c>
      <c r="J140" s="24">
        <f t="shared" ca="1" si="3"/>
        <v>46309.874604861114</v>
      </c>
      <c r="K140" s="24"/>
      <c r="L140" s="24"/>
      <c r="M140" s="5"/>
    </row>
    <row r="141" spans="1:13" ht="30.75" thickBot="1" x14ac:dyDescent="0.3">
      <c r="A141" s="1" t="s">
        <v>28</v>
      </c>
      <c r="B141" s="1" t="s">
        <v>26</v>
      </c>
      <c r="C141" s="1" t="s">
        <v>34</v>
      </c>
      <c r="D141" s="1" t="s">
        <v>27</v>
      </c>
      <c r="E141" s="2">
        <v>1432.47</v>
      </c>
      <c r="F141" s="2">
        <v>16</v>
      </c>
      <c r="G141" s="2">
        <v>0.15</v>
      </c>
      <c r="H141" s="3">
        <v>45640</v>
      </c>
      <c r="I141" s="2">
        <v>426.16</v>
      </c>
      <c r="J141" s="24">
        <f t="shared" ca="1" si="3"/>
        <v>46309.874604861114</v>
      </c>
      <c r="K141" s="24"/>
      <c r="L141" s="24"/>
      <c r="M141" s="6"/>
    </row>
    <row r="142" spans="1:13" ht="15.75" thickBot="1" x14ac:dyDescent="0.3">
      <c r="A142" s="1" t="s">
        <v>74</v>
      </c>
      <c r="B142" s="1" t="s">
        <v>29</v>
      </c>
      <c r="C142" s="1" t="s">
        <v>34</v>
      </c>
      <c r="D142" s="1" t="s">
        <v>21</v>
      </c>
      <c r="E142" s="2">
        <v>1488.58</v>
      </c>
      <c r="F142" s="2">
        <v>10</v>
      </c>
      <c r="G142" s="2">
        <v>0.15</v>
      </c>
      <c r="H142" s="3">
        <v>45640</v>
      </c>
      <c r="I142" s="2">
        <v>316.32</v>
      </c>
      <c r="J142" s="24">
        <f t="shared" ca="1" si="3"/>
        <v>46309.874604861114</v>
      </c>
      <c r="K142" s="24"/>
      <c r="L142" s="24"/>
      <c r="M142" s="5"/>
    </row>
    <row r="143" spans="1:13" ht="15.75" thickBot="1" x14ac:dyDescent="0.3">
      <c r="A143" s="1" t="s">
        <v>30</v>
      </c>
      <c r="B143" s="1" t="s">
        <v>66</v>
      </c>
      <c r="C143" s="1" t="s">
        <v>18</v>
      </c>
      <c r="D143" s="1" t="s">
        <v>12</v>
      </c>
      <c r="E143" s="2">
        <v>1231.26</v>
      </c>
      <c r="F143" s="2">
        <v>9</v>
      </c>
      <c r="G143" s="2">
        <v>0</v>
      </c>
      <c r="H143" s="3">
        <v>45646</v>
      </c>
      <c r="I143" s="2">
        <v>492.5</v>
      </c>
      <c r="J143" s="24">
        <f t="shared" ca="1" si="3"/>
        <v>46309.874604861114</v>
      </c>
      <c r="K143" s="24"/>
      <c r="L143" s="24"/>
      <c r="M143" s="5"/>
    </row>
    <row r="144" spans="1:13" ht="15.75" thickBot="1" x14ac:dyDescent="0.3">
      <c r="A144" s="1" t="s">
        <v>30</v>
      </c>
      <c r="B144" s="1" t="s">
        <v>43</v>
      </c>
      <c r="C144" s="1" t="s">
        <v>11</v>
      </c>
      <c r="D144" s="1" t="s">
        <v>21</v>
      </c>
      <c r="E144" s="2">
        <v>1161.67</v>
      </c>
      <c r="F144" s="2">
        <v>19</v>
      </c>
      <c r="G144" s="2">
        <v>0.2</v>
      </c>
      <c r="H144" s="3">
        <v>45647</v>
      </c>
      <c r="I144" s="2">
        <v>232.33</v>
      </c>
      <c r="J144" s="24">
        <f t="shared" ca="1" si="3"/>
        <v>46309.874604861114</v>
      </c>
      <c r="K144" s="24"/>
      <c r="L144" s="24"/>
      <c r="M144" s="5"/>
    </row>
    <row r="145" spans="1:13" ht="15.75" thickBot="1" x14ac:dyDescent="0.3">
      <c r="A145" s="1" t="s">
        <v>49</v>
      </c>
      <c r="B145" s="1" t="s">
        <v>45</v>
      </c>
      <c r="C145" s="1" t="s">
        <v>34</v>
      </c>
      <c r="D145" s="1" t="s">
        <v>39</v>
      </c>
      <c r="E145" s="2">
        <v>388.23</v>
      </c>
      <c r="F145" s="2">
        <v>16</v>
      </c>
      <c r="G145" s="2">
        <v>0.05</v>
      </c>
      <c r="H145" s="3">
        <v>45650</v>
      </c>
      <c r="I145" s="2">
        <v>165.97</v>
      </c>
      <c r="J145" s="24">
        <f t="shared" ca="1" si="3"/>
        <v>46309.874604861114</v>
      </c>
      <c r="K145" s="24"/>
      <c r="L145" s="24"/>
      <c r="M145" s="6"/>
    </row>
    <row r="146" spans="1:13" ht="15.75" thickBot="1" x14ac:dyDescent="0.3">
      <c r="A146" s="1" t="s">
        <v>72</v>
      </c>
      <c r="B146" s="1" t="s">
        <v>31</v>
      </c>
      <c r="C146" s="1" t="s">
        <v>24</v>
      </c>
      <c r="D146" s="1" t="s">
        <v>15</v>
      </c>
      <c r="E146" s="2">
        <v>1589.42</v>
      </c>
      <c r="F146" s="2">
        <v>6</v>
      </c>
      <c r="G146" s="2">
        <v>0.15</v>
      </c>
      <c r="H146" s="3">
        <v>45651</v>
      </c>
      <c r="I146" s="2">
        <v>675.5</v>
      </c>
      <c r="J146" s="24">
        <f t="shared" ca="1" si="3"/>
        <v>46309.874604861114</v>
      </c>
      <c r="K146" s="24"/>
      <c r="L146" s="24"/>
      <c r="M146" s="5"/>
    </row>
    <row r="147" spans="1:13" ht="15.75" thickBot="1" x14ac:dyDescent="0.3">
      <c r="A147" s="1" t="s">
        <v>28</v>
      </c>
      <c r="B147" s="1" t="s">
        <v>71</v>
      </c>
      <c r="C147" s="1" t="s">
        <v>24</v>
      </c>
      <c r="D147" s="1" t="s">
        <v>15</v>
      </c>
      <c r="E147" s="2">
        <v>336.66</v>
      </c>
      <c r="F147" s="2">
        <v>13</v>
      </c>
      <c r="G147" s="2">
        <v>0.2</v>
      </c>
      <c r="H147" s="3">
        <v>45651</v>
      </c>
      <c r="I147" s="2">
        <v>134.66</v>
      </c>
      <c r="J147" s="24">
        <f t="shared" ca="1" si="3"/>
        <v>46309.874604861114</v>
      </c>
      <c r="K147" s="24"/>
      <c r="L147" s="24"/>
      <c r="M147" s="5"/>
    </row>
    <row r="148" spans="1:13" ht="15.75" thickBot="1" x14ac:dyDescent="0.3">
      <c r="A148" s="1" t="s">
        <v>49</v>
      </c>
      <c r="B148" s="1" t="s">
        <v>23</v>
      </c>
      <c r="C148" s="1" t="s">
        <v>11</v>
      </c>
      <c r="D148" s="1" t="s">
        <v>12</v>
      </c>
      <c r="E148" s="2">
        <v>1353.79</v>
      </c>
      <c r="F148" s="2">
        <v>14</v>
      </c>
      <c r="G148" s="2">
        <v>0.1</v>
      </c>
      <c r="H148" s="3">
        <v>45656</v>
      </c>
      <c r="I148" s="2">
        <v>487.36</v>
      </c>
      <c r="J148" s="24">
        <f t="shared" ca="1" si="3"/>
        <v>46309.874604861114</v>
      </c>
      <c r="K148" s="24"/>
      <c r="L148" s="24"/>
      <c r="M148" s="5"/>
    </row>
    <row r="149" spans="1:13" ht="15.75" thickBot="1" x14ac:dyDescent="0.3">
      <c r="A149" s="1" t="s">
        <v>63</v>
      </c>
      <c r="B149" s="1" t="s">
        <v>69</v>
      </c>
      <c r="C149" s="1" t="s">
        <v>34</v>
      </c>
      <c r="D149" s="1" t="s">
        <v>15</v>
      </c>
      <c r="E149" s="2">
        <v>662.61</v>
      </c>
      <c r="F149" s="2">
        <v>11</v>
      </c>
      <c r="G149" s="2">
        <v>0.05</v>
      </c>
      <c r="H149" s="3">
        <v>45658</v>
      </c>
      <c r="I149" s="2">
        <v>314.74</v>
      </c>
      <c r="J149" s="24">
        <f t="shared" ca="1" si="3"/>
        <v>46309.874604861114</v>
      </c>
      <c r="K149" s="24"/>
      <c r="L149" s="24"/>
      <c r="M149" s="6"/>
    </row>
    <row r="150" spans="1:13" ht="15.75" thickBot="1" x14ac:dyDescent="0.3">
      <c r="A150" s="1" t="s">
        <v>52</v>
      </c>
      <c r="B150" s="1" t="s">
        <v>48</v>
      </c>
      <c r="C150" s="1" t="s">
        <v>24</v>
      </c>
      <c r="D150" s="1" t="s">
        <v>39</v>
      </c>
      <c r="E150" s="2">
        <v>309.42</v>
      </c>
      <c r="F150" s="2">
        <v>1</v>
      </c>
      <c r="G150" s="2">
        <v>0.2</v>
      </c>
      <c r="H150" s="3">
        <v>45658</v>
      </c>
      <c r="I150" s="2">
        <v>111.39</v>
      </c>
      <c r="J150" s="24">
        <f t="shared" ca="1" si="3"/>
        <v>46309.874604861114</v>
      </c>
      <c r="K150" s="24"/>
      <c r="L150" s="24"/>
      <c r="M150" s="5"/>
    </row>
    <row r="151" spans="1:13" ht="15.75" thickBot="1" x14ac:dyDescent="0.3">
      <c r="A151" s="1" t="s">
        <v>63</v>
      </c>
      <c r="B151" s="1" t="s">
        <v>29</v>
      </c>
      <c r="C151" s="1" t="s">
        <v>24</v>
      </c>
      <c r="D151" s="1" t="s">
        <v>12</v>
      </c>
      <c r="E151" s="2">
        <v>884.63</v>
      </c>
      <c r="F151" s="2">
        <v>18</v>
      </c>
      <c r="G151" s="2">
        <v>0.1</v>
      </c>
      <c r="H151" s="3">
        <v>45659</v>
      </c>
      <c r="I151" s="2">
        <v>318.47000000000003</v>
      </c>
      <c r="J151" s="24">
        <f t="shared" ca="1" si="3"/>
        <v>46309.874604861114</v>
      </c>
      <c r="K151" s="24"/>
      <c r="L151" s="24"/>
      <c r="M151" s="5"/>
    </row>
    <row r="152" spans="1:13" ht="15.75" thickBot="1" x14ac:dyDescent="0.3">
      <c r="A152" s="1" t="s">
        <v>52</v>
      </c>
      <c r="B152" s="1" t="s">
        <v>23</v>
      </c>
      <c r="C152" s="1" t="s">
        <v>34</v>
      </c>
      <c r="D152" s="1" t="s">
        <v>39</v>
      </c>
      <c r="E152" s="2">
        <v>745.05</v>
      </c>
      <c r="F152" s="2">
        <v>10</v>
      </c>
      <c r="G152" s="2">
        <v>0.1</v>
      </c>
      <c r="H152" s="3">
        <v>45660</v>
      </c>
      <c r="I152" s="2">
        <v>301.75</v>
      </c>
      <c r="J152" s="24">
        <f t="shared" ca="1" si="3"/>
        <v>46309.874604861114</v>
      </c>
      <c r="K152" s="24"/>
      <c r="L152" s="24"/>
      <c r="M152" s="5"/>
    </row>
    <row r="153" spans="1:13" ht="15.75" thickBot="1" x14ac:dyDescent="0.3">
      <c r="A153" s="1" t="s">
        <v>60</v>
      </c>
      <c r="B153" s="1" t="s">
        <v>17</v>
      </c>
      <c r="C153" s="1" t="s">
        <v>20</v>
      </c>
      <c r="D153" s="1" t="s">
        <v>15</v>
      </c>
      <c r="E153" s="2">
        <v>870.23</v>
      </c>
      <c r="F153" s="2">
        <v>5</v>
      </c>
      <c r="G153" s="2">
        <v>0.05</v>
      </c>
      <c r="H153" s="3">
        <v>45660</v>
      </c>
      <c r="I153" s="2">
        <v>413.36</v>
      </c>
      <c r="J153" s="24">
        <f t="shared" ca="1" si="3"/>
        <v>46309.874604861114</v>
      </c>
      <c r="K153" s="24"/>
      <c r="L153" s="24"/>
      <c r="M153" s="6"/>
    </row>
    <row r="154" spans="1:13" ht="15.75" thickBot="1" x14ac:dyDescent="0.3">
      <c r="A154" s="1" t="s">
        <v>35</v>
      </c>
      <c r="B154" s="1" t="s">
        <v>29</v>
      </c>
      <c r="C154" s="1" t="s">
        <v>11</v>
      </c>
      <c r="D154" s="1" t="s">
        <v>27</v>
      </c>
      <c r="E154" s="2">
        <v>862.19</v>
      </c>
      <c r="F154" s="2">
        <v>18</v>
      </c>
      <c r="G154" s="2">
        <v>0.05</v>
      </c>
      <c r="H154" s="3">
        <v>45663</v>
      </c>
      <c r="I154" s="2">
        <v>286.68</v>
      </c>
      <c r="J154" s="24">
        <f t="shared" ca="1" si="3"/>
        <v>46309.874604861114</v>
      </c>
      <c r="K154" s="24"/>
      <c r="L154" s="24"/>
      <c r="M154" s="5"/>
    </row>
    <row r="155" spans="1:13" ht="15.75" thickBot="1" x14ac:dyDescent="0.3">
      <c r="A155" s="1" t="s">
        <v>73</v>
      </c>
      <c r="B155" s="1" t="s">
        <v>59</v>
      </c>
      <c r="C155" s="1" t="s">
        <v>24</v>
      </c>
      <c r="D155" s="1" t="s">
        <v>15</v>
      </c>
      <c r="E155" s="2">
        <v>1171.18</v>
      </c>
      <c r="F155" s="2">
        <v>19</v>
      </c>
      <c r="G155" s="2">
        <v>0.05</v>
      </c>
      <c r="H155" s="3">
        <v>45667</v>
      </c>
      <c r="I155" s="2">
        <v>556.30999999999995</v>
      </c>
      <c r="J155" s="24">
        <f t="shared" ca="1" si="3"/>
        <v>46309.874604861114</v>
      </c>
      <c r="K155" s="24"/>
      <c r="L155" s="24"/>
      <c r="M155" s="5"/>
    </row>
    <row r="156" spans="1:13" ht="30.75" thickBot="1" x14ac:dyDescent="0.3">
      <c r="A156" s="1" t="s">
        <v>58</v>
      </c>
      <c r="B156" s="1" t="s">
        <v>14</v>
      </c>
      <c r="C156" s="1" t="s">
        <v>20</v>
      </c>
      <c r="D156" s="1" t="s">
        <v>27</v>
      </c>
      <c r="E156" s="2">
        <v>1054.56</v>
      </c>
      <c r="F156" s="2">
        <v>11</v>
      </c>
      <c r="G156" s="2">
        <v>0.1</v>
      </c>
      <c r="H156" s="3">
        <v>45669</v>
      </c>
      <c r="I156" s="2">
        <v>332.19</v>
      </c>
      <c r="J156" s="24">
        <f t="shared" ca="1" si="3"/>
        <v>46309.874604861114</v>
      </c>
      <c r="K156" s="24"/>
      <c r="L156" s="24"/>
      <c r="M156" s="5"/>
    </row>
    <row r="157" spans="1:13" ht="15.75" thickBot="1" x14ac:dyDescent="0.3">
      <c r="A157" s="1" t="s">
        <v>58</v>
      </c>
      <c r="B157" s="1" t="s">
        <v>23</v>
      </c>
      <c r="C157" s="1" t="s">
        <v>24</v>
      </c>
      <c r="D157" s="1" t="s">
        <v>21</v>
      </c>
      <c r="E157" s="2">
        <v>1681.21</v>
      </c>
      <c r="F157" s="2">
        <v>5</v>
      </c>
      <c r="G157" s="2">
        <v>0.2</v>
      </c>
      <c r="H157" s="3">
        <v>45670</v>
      </c>
      <c r="I157" s="2">
        <v>336.24</v>
      </c>
      <c r="J157" s="24">
        <f t="shared" ca="1" si="3"/>
        <v>46309.874604861114</v>
      </c>
      <c r="K157" s="24"/>
      <c r="L157" s="24"/>
      <c r="M157" s="6"/>
    </row>
    <row r="158" spans="1:13" ht="15.75" thickBot="1" x14ac:dyDescent="0.3">
      <c r="A158" s="1" t="s">
        <v>58</v>
      </c>
      <c r="B158" s="1" t="s">
        <v>36</v>
      </c>
      <c r="C158" s="1" t="s">
        <v>11</v>
      </c>
      <c r="D158" s="1" t="s">
        <v>15</v>
      </c>
      <c r="E158" s="2">
        <v>379.77</v>
      </c>
      <c r="F158" s="2">
        <v>9</v>
      </c>
      <c r="G158" s="2">
        <v>0.05</v>
      </c>
      <c r="H158" s="3">
        <v>45673</v>
      </c>
      <c r="I158" s="2">
        <v>180.39</v>
      </c>
      <c r="J158" s="24">
        <f t="shared" ca="1" si="3"/>
        <v>46309.874604861114</v>
      </c>
      <c r="K158" s="24"/>
      <c r="L158" s="24"/>
      <c r="M158" s="5"/>
    </row>
    <row r="159" spans="1:13" ht="15.75" thickBot="1" x14ac:dyDescent="0.3">
      <c r="A159" s="1" t="s">
        <v>44</v>
      </c>
      <c r="B159" s="1" t="s">
        <v>45</v>
      </c>
      <c r="C159" s="1" t="s">
        <v>34</v>
      </c>
      <c r="D159" s="1" t="s">
        <v>15</v>
      </c>
      <c r="E159" s="2">
        <v>1076.33</v>
      </c>
      <c r="F159" s="2">
        <v>2</v>
      </c>
      <c r="G159" s="2">
        <v>0.1</v>
      </c>
      <c r="H159" s="3">
        <v>45674</v>
      </c>
      <c r="I159" s="2">
        <v>484.35</v>
      </c>
      <c r="J159" s="24">
        <f t="shared" ca="1" si="3"/>
        <v>46309.874604861114</v>
      </c>
      <c r="K159" s="24"/>
      <c r="L159" s="24"/>
      <c r="M159" s="5"/>
    </row>
    <row r="160" spans="1:13" ht="15.75" thickBot="1" x14ac:dyDescent="0.3">
      <c r="A160" s="1" t="s">
        <v>44</v>
      </c>
      <c r="B160" s="1" t="s">
        <v>31</v>
      </c>
      <c r="C160" s="1" t="s">
        <v>34</v>
      </c>
      <c r="D160" s="1" t="s">
        <v>39</v>
      </c>
      <c r="E160" s="2">
        <v>1250.71</v>
      </c>
      <c r="F160" s="2">
        <v>7</v>
      </c>
      <c r="G160" s="2">
        <v>0</v>
      </c>
      <c r="H160" s="3">
        <v>45674</v>
      </c>
      <c r="I160" s="2">
        <v>562.82000000000005</v>
      </c>
      <c r="J160" s="24">
        <f t="shared" ca="1" si="3"/>
        <v>46309.874604861114</v>
      </c>
      <c r="K160" s="24"/>
      <c r="L160" s="24"/>
      <c r="M160" s="5"/>
    </row>
    <row r="161" spans="1:13" ht="15.75" thickBot="1" x14ac:dyDescent="0.3">
      <c r="A161" s="1" t="s">
        <v>40</v>
      </c>
      <c r="B161" s="1" t="s">
        <v>17</v>
      </c>
      <c r="C161" s="1" t="s">
        <v>20</v>
      </c>
      <c r="D161" s="1" t="s">
        <v>15</v>
      </c>
      <c r="E161" s="2">
        <v>1118.3399999999999</v>
      </c>
      <c r="F161" s="2">
        <v>6</v>
      </c>
      <c r="G161" s="2">
        <v>0.2</v>
      </c>
      <c r="H161" s="3">
        <v>45674</v>
      </c>
      <c r="I161" s="2">
        <v>447.34</v>
      </c>
      <c r="J161" s="24">
        <f t="shared" ca="1" si="3"/>
        <v>46309.874604861114</v>
      </c>
      <c r="K161" s="24"/>
      <c r="L161" s="24"/>
      <c r="M161" s="6"/>
    </row>
    <row r="162" spans="1:13" ht="15.75" thickBot="1" x14ac:dyDescent="0.3">
      <c r="A162" s="1" t="s">
        <v>70</v>
      </c>
      <c r="B162" s="1" t="s">
        <v>53</v>
      </c>
      <c r="C162" s="1" t="s">
        <v>24</v>
      </c>
      <c r="D162" s="1" t="s">
        <v>15</v>
      </c>
      <c r="E162" s="2">
        <v>1622.62</v>
      </c>
      <c r="F162" s="2">
        <v>12</v>
      </c>
      <c r="G162" s="2">
        <v>0.2</v>
      </c>
      <c r="H162" s="3">
        <v>45677</v>
      </c>
      <c r="I162" s="2">
        <v>649.04999999999995</v>
      </c>
      <c r="J162" s="24">
        <f t="shared" ca="1" si="3"/>
        <v>46309.874604861114</v>
      </c>
      <c r="K162" s="24"/>
      <c r="L162" s="24"/>
      <c r="M162" s="5"/>
    </row>
    <row r="163" spans="1:13" ht="15.75" thickBot="1" x14ac:dyDescent="0.3">
      <c r="A163" s="1" t="s">
        <v>75</v>
      </c>
      <c r="B163" s="1" t="s">
        <v>48</v>
      </c>
      <c r="C163" s="1" t="s">
        <v>24</v>
      </c>
      <c r="D163" s="1" t="s">
        <v>12</v>
      </c>
      <c r="E163" s="2">
        <v>640.64</v>
      </c>
      <c r="F163" s="2">
        <v>11</v>
      </c>
      <c r="G163" s="2">
        <v>0.2</v>
      </c>
      <c r="H163" s="3">
        <v>45678</v>
      </c>
      <c r="I163" s="2">
        <v>205</v>
      </c>
      <c r="J163" s="24">
        <f t="shared" ca="1" si="3"/>
        <v>46309.874604861114</v>
      </c>
      <c r="K163" s="24"/>
      <c r="L163" s="24"/>
      <c r="M163" s="5"/>
    </row>
    <row r="164" spans="1:13" ht="15.75" thickBot="1" x14ac:dyDescent="0.3">
      <c r="A164" s="1" t="s">
        <v>22</v>
      </c>
      <c r="B164" s="1" t="s">
        <v>43</v>
      </c>
      <c r="C164" s="1" t="s">
        <v>11</v>
      </c>
      <c r="D164" s="1" t="s">
        <v>15</v>
      </c>
      <c r="E164" s="2">
        <v>585.16</v>
      </c>
      <c r="F164" s="2">
        <v>17</v>
      </c>
      <c r="G164" s="2">
        <v>0.1</v>
      </c>
      <c r="H164" s="3">
        <v>45684</v>
      </c>
      <c r="I164" s="2">
        <v>263.32</v>
      </c>
      <c r="J164" s="24">
        <f t="shared" ca="1" si="3"/>
        <v>46309.874604861114</v>
      </c>
      <c r="K164" s="24"/>
      <c r="L164" s="24"/>
      <c r="M164" s="5"/>
    </row>
    <row r="165" spans="1:13" ht="15.75" thickBot="1" x14ac:dyDescent="0.3">
      <c r="A165" s="1" t="s">
        <v>22</v>
      </c>
      <c r="B165" s="1" t="s">
        <v>31</v>
      </c>
      <c r="C165" s="1" t="s">
        <v>18</v>
      </c>
      <c r="D165" s="1" t="s">
        <v>15</v>
      </c>
      <c r="E165" s="2">
        <v>1109.98</v>
      </c>
      <c r="F165" s="2">
        <v>5</v>
      </c>
      <c r="G165" s="2">
        <v>0.2</v>
      </c>
      <c r="H165" s="3">
        <v>45690</v>
      </c>
      <c r="I165" s="2">
        <v>443.99</v>
      </c>
      <c r="J165" s="24">
        <f t="shared" ca="1" si="3"/>
        <v>46309.874604861114</v>
      </c>
      <c r="K165" s="24"/>
      <c r="L165" s="24"/>
      <c r="M165" s="6"/>
    </row>
    <row r="166" spans="1:13" ht="15.75" thickBot="1" x14ac:dyDescent="0.3">
      <c r="A166" s="1" t="s">
        <v>58</v>
      </c>
      <c r="B166" s="1" t="s">
        <v>45</v>
      </c>
      <c r="C166" s="1" t="s">
        <v>18</v>
      </c>
      <c r="D166" s="1" t="s">
        <v>12</v>
      </c>
      <c r="E166" s="2">
        <v>1098.08</v>
      </c>
      <c r="F166" s="2">
        <v>9</v>
      </c>
      <c r="G166" s="2">
        <v>0.1</v>
      </c>
      <c r="H166" s="3">
        <v>45692</v>
      </c>
      <c r="I166" s="2">
        <v>395.31</v>
      </c>
      <c r="J166" s="24">
        <f t="shared" ca="1" si="3"/>
        <v>46309.874604861114</v>
      </c>
      <c r="K166" s="24"/>
      <c r="L166" s="24"/>
      <c r="M166" s="5"/>
    </row>
    <row r="167" spans="1:13" ht="15.75" thickBot="1" x14ac:dyDescent="0.3">
      <c r="A167" s="1" t="s">
        <v>65</v>
      </c>
      <c r="B167" s="1" t="s">
        <v>48</v>
      </c>
      <c r="C167" s="1" t="s">
        <v>11</v>
      </c>
      <c r="D167" s="1" t="s">
        <v>39</v>
      </c>
      <c r="E167" s="2">
        <v>827.25</v>
      </c>
      <c r="F167" s="2">
        <v>7</v>
      </c>
      <c r="G167" s="2">
        <v>0.1</v>
      </c>
      <c r="H167" s="3">
        <v>45693</v>
      </c>
      <c r="I167" s="2">
        <v>335.04</v>
      </c>
      <c r="J167" s="24">
        <f t="shared" ca="1" si="3"/>
        <v>46309.874604861114</v>
      </c>
      <c r="K167" s="24"/>
      <c r="L167" s="24"/>
      <c r="M167" s="5"/>
    </row>
    <row r="168" spans="1:13" ht="15.75" thickBot="1" x14ac:dyDescent="0.3">
      <c r="A168" s="1" t="s">
        <v>70</v>
      </c>
      <c r="B168" s="1" t="s">
        <v>29</v>
      </c>
      <c r="C168" s="1" t="s">
        <v>34</v>
      </c>
      <c r="D168" s="1" t="s">
        <v>15</v>
      </c>
      <c r="E168" s="2">
        <v>741.88</v>
      </c>
      <c r="F168" s="2">
        <v>16</v>
      </c>
      <c r="G168" s="2">
        <v>0.1</v>
      </c>
      <c r="H168" s="3">
        <v>45695</v>
      </c>
      <c r="I168" s="2">
        <v>333.85</v>
      </c>
      <c r="J168" s="24">
        <f t="shared" ca="1" si="3"/>
        <v>46309.874604861114</v>
      </c>
      <c r="K168" s="24"/>
      <c r="L168" s="24"/>
      <c r="M168" s="5"/>
    </row>
    <row r="169" spans="1:13" ht="15.75" thickBot="1" x14ac:dyDescent="0.3">
      <c r="A169" s="1" t="s">
        <v>72</v>
      </c>
      <c r="B169" s="1" t="s">
        <v>10</v>
      </c>
      <c r="C169" s="1" t="s">
        <v>18</v>
      </c>
      <c r="D169" s="1" t="s">
        <v>39</v>
      </c>
      <c r="E169" s="2">
        <v>1311.26</v>
      </c>
      <c r="F169" s="2">
        <v>6</v>
      </c>
      <c r="G169" s="2">
        <v>0.1</v>
      </c>
      <c r="H169" s="3">
        <v>45698</v>
      </c>
      <c r="I169" s="2">
        <v>531.05999999999995</v>
      </c>
      <c r="J169" s="24">
        <f t="shared" ca="1" si="3"/>
        <v>46309.874604861114</v>
      </c>
      <c r="K169" s="24"/>
      <c r="L169" s="24"/>
      <c r="M169" s="6"/>
    </row>
    <row r="170" spans="1:13" ht="15.75" thickBot="1" x14ac:dyDescent="0.3">
      <c r="A170" s="1" t="s">
        <v>72</v>
      </c>
      <c r="B170" s="1" t="s">
        <v>31</v>
      </c>
      <c r="C170" s="1" t="s">
        <v>20</v>
      </c>
      <c r="D170" s="1" t="s">
        <v>39</v>
      </c>
      <c r="E170" s="2">
        <v>573.32000000000005</v>
      </c>
      <c r="F170" s="2">
        <v>19</v>
      </c>
      <c r="G170" s="2">
        <v>0.1</v>
      </c>
      <c r="H170" s="3">
        <v>45703</v>
      </c>
      <c r="I170" s="2">
        <v>232.19</v>
      </c>
      <c r="J170" s="24">
        <f t="shared" ca="1" si="3"/>
        <v>46309.874604861114</v>
      </c>
      <c r="K170" s="24"/>
      <c r="L170" s="24"/>
      <c r="M170" s="5"/>
    </row>
    <row r="171" spans="1:13" ht="15.75" thickBot="1" x14ac:dyDescent="0.3">
      <c r="A171" s="1" t="s">
        <v>52</v>
      </c>
      <c r="B171" s="1" t="s">
        <v>23</v>
      </c>
      <c r="C171" s="1" t="s">
        <v>11</v>
      </c>
      <c r="D171" s="1" t="s">
        <v>21</v>
      </c>
      <c r="E171" s="2">
        <v>1115.22</v>
      </c>
      <c r="F171" s="2">
        <v>14</v>
      </c>
      <c r="G171" s="2">
        <v>0.2</v>
      </c>
      <c r="H171" s="3">
        <v>45705</v>
      </c>
      <c r="I171" s="2">
        <v>223.04</v>
      </c>
      <c r="J171" s="24">
        <f t="shared" ca="1" si="3"/>
        <v>46309.874604861114</v>
      </c>
      <c r="K171" s="24"/>
      <c r="L171" s="24"/>
      <c r="M171" s="5"/>
    </row>
    <row r="172" spans="1:13" ht="15.75" thickBot="1" x14ac:dyDescent="0.3">
      <c r="A172" s="1" t="s">
        <v>13</v>
      </c>
      <c r="B172" s="1" t="s">
        <v>45</v>
      </c>
      <c r="C172" s="1" t="s">
        <v>24</v>
      </c>
      <c r="D172" s="1" t="s">
        <v>15</v>
      </c>
      <c r="E172" s="2">
        <v>845.84</v>
      </c>
      <c r="F172" s="2">
        <v>4</v>
      </c>
      <c r="G172" s="2">
        <v>0</v>
      </c>
      <c r="H172" s="3">
        <v>45707</v>
      </c>
      <c r="I172" s="2">
        <v>422.92</v>
      </c>
      <c r="J172" s="24">
        <f t="shared" ca="1" si="3"/>
        <v>46309.874604861114</v>
      </c>
      <c r="K172" s="24"/>
      <c r="L172" s="24"/>
      <c r="M172" s="5"/>
    </row>
    <row r="173" spans="1:13" ht="15.75" thickBot="1" x14ac:dyDescent="0.3">
      <c r="A173" s="1" t="s">
        <v>30</v>
      </c>
      <c r="B173" s="1" t="s">
        <v>55</v>
      </c>
      <c r="C173" s="1" t="s">
        <v>11</v>
      </c>
      <c r="D173" s="1" t="s">
        <v>21</v>
      </c>
      <c r="E173" s="2">
        <v>1029.8</v>
      </c>
      <c r="F173" s="2">
        <v>3</v>
      </c>
      <c r="G173" s="2">
        <v>0</v>
      </c>
      <c r="H173" s="3">
        <v>45708</v>
      </c>
      <c r="I173" s="2">
        <v>257.45</v>
      </c>
      <c r="J173" s="24">
        <f t="shared" ca="1" si="3"/>
        <v>46309.874604861114</v>
      </c>
      <c r="K173" s="24"/>
      <c r="L173" s="24"/>
      <c r="M173" s="6"/>
    </row>
    <row r="174" spans="1:13" ht="15.75" thickBot="1" x14ac:dyDescent="0.3">
      <c r="A174" s="1" t="s">
        <v>32</v>
      </c>
      <c r="B174" s="1" t="s">
        <v>31</v>
      </c>
      <c r="C174" s="1" t="s">
        <v>24</v>
      </c>
      <c r="D174" s="1" t="s">
        <v>12</v>
      </c>
      <c r="E174" s="2">
        <v>1189.83</v>
      </c>
      <c r="F174" s="2">
        <v>2</v>
      </c>
      <c r="G174" s="2">
        <v>0.2</v>
      </c>
      <c r="H174" s="3">
        <v>45709</v>
      </c>
      <c r="I174" s="2">
        <v>380.75</v>
      </c>
      <c r="J174" s="24">
        <f t="shared" ca="1" si="3"/>
        <v>46309.874604861114</v>
      </c>
      <c r="K174" s="24"/>
      <c r="L174" s="24"/>
      <c r="M174" s="5"/>
    </row>
    <row r="175" spans="1:13" ht="15.75" thickBot="1" x14ac:dyDescent="0.3">
      <c r="A175" s="1" t="s">
        <v>67</v>
      </c>
      <c r="B175" s="1" t="s">
        <v>43</v>
      </c>
      <c r="C175" s="1" t="s">
        <v>20</v>
      </c>
      <c r="D175" s="1" t="s">
        <v>12</v>
      </c>
      <c r="E175" s="2">
        <v>704.28</v>
      </c>
      <c r="F175" s="2">
        <v>15</v>
      </c>
      <c r="G175" s="2">
        <v>0.2</v>
      </c>
      <c r="H175" s="3">
        <v>45712</v>
      </c>
      <c r="I175" s="2">
        <v>225.37</v>
      </c>
      <c r="J175" s="24">
        <f t="shared" ca="1" si="3"/>
        <v>46309.874604861114</v>
      </c>
      <c r="K175" s="24"/>
      <c r="L175" s="24"/>
      <c r="M175" s="5"/>
    </row>
    <row r="176" spans="1:13" ht="15.75" thickBot="1" x14ac:dyDescent="0.3">
      <c r="A176" s="1" t="s">
        <v>65</v>
      </c>
      <c r="B176" s="1" t="s">
        <v>47</v>
      </c>
      <c r="C176" s="1" t="s">
        <v>34</v>
      </c>
      <c r="D176" s="1" t="s">
        <v>39</v>
      </c>
      <c r="E176" s="2">
        <v>1618.22</v>
      </c>
      <c r="F176" s="2">
        <v>12</v>
      </c>
      <c r="G176" s="2">
        <v>0.2</v>
      </c>
      <c r="H176" s="3">
        <v>45712</v>
      </c>
      <c r="I176" s="2">
        <v>582.55999999999995</v>
      </c>
      <c r="J176" s="24">
        <f t="shared" ca="1" si="3"/>
        <v>46309.874604861114</v>
      </c>
      <c r="K176" s="24"/>
      <c r="L176" s="24"/>
      <c r="M176" s="5"/>
    </row>
    <row r="177" spans="1:13" ht="15.75" thickBot="1" x14ac:dyDescent="0.3">
      <c r="A177" s="1" t="s">
        <v>73</v>
      </c>
      <c r="B177" s="1" t="s">
        <v>53</v>
      </c>
      <c r="C177" s="1" t="s">
        <v>34</v>
      </c>
      <c r="D177" s="1" t="s">
        <v>12</v>
      </c>
      <c r="E177" s="2">
        <v>1014.43</v>
      </c>
      <c r="F177" s="2">
        <v>2</v>
      </c>
      <c r="G177" s="2">
        <v>0.15</v>
      </c>
      <c r="H177" s="3">
        <v>45713</v>
      </c>
      <c r="I177" s="2">
        <v>344.91</v>
      </c>
      <c r="J177" s="24">
        <f t="shared" ca="1" si="3"/>
        <v>46309.874604861114</v>
      </c>
      <c r="K177" s="24"/>
      <c r="L177" s="24"/>
      <c r="M177" s="6"/>
    </row>
    <row r="178" spans="1:13" ht="15.75" thickBot="1" x14ac:dyDescent="0.3">
      <c r="A178" s="1" t="s">
        <v>75</v>
      </c>
      <c r="B178" s="1" t="s">
        <v>31</v>
      </c>
      <c r="C178" s="1" t="s">
        <v>34</v>
      </c>
      <c r="D178" s="1" t="s">
        <v>15</v>
      </c>
      <c r="E178" s="2">
        <v>826.97</v>
      </c>
      <c r="F178" s="2">
        <v>18</v>
      </c>
      <c r="G178" s="2">
        <v>0.2</v>
      </c>
      <c r="H178" s="3">
        <v>45715</v>
      </c>
      <c r="I178" s="2">
        <v>330.79</v>
      </c>
      <c r="J178" s="24">
        <f t="shared" ca="1" si="3"/>
        <v>46309.874604861114</v>
      </c>
      <c r="K178" s="24"/>
      <c r="L178" s="24"/>
      <c r="M178" s="5"/>
    </row>
    <row r="179" spans="1:13" ht="15.75" thickBot="1" x14ac:dyDescent="0.3">
      <c r="A179" s="1" t="s">
        <v>16</v>
      </c>
      <c r="B179" s="1" t="s">
        <v>31</v>
      </c>
      <c r="C179" s="1" t="s">
        <v>34</v>
      </c>
      <c r="D179" s="1" t="s">
        <v>15</v>
      </c>
      <c r="E179" s="2">
        <v>1022.23</v>
      </c>
      <c r="F179" s="2">
        <v>8</v>
      </c>
      <c r="G179" s="2">
        <v>0.1</v>
      </c>
      <c r="H179" s="3">
        <v>45717</v>
      </c>
      <c r="I179" s="2">
        <v>460</v>
      </c>
      <c r="J179" s="24">
        <f t="shared" ca="1" si="3"/>
        <v>46309.874604861114</v>
      </c>
      <c r="K179" s="24"/>
      <c r="L179" s="24"/>
      <c r="M179" s="5"/>
    </row>
    <row r="180" spans="1:13" ht="15.75" thickBot="1" x14ac:dyDescent="0.3">
      <c r="A180" s="1" t="s">
        <v>72</v>
      </c>
      <c r="B180" s="1" t="s">
        <v>29</v>
      </c>
      <c r="C180" s="1" t="s">
        <v>18</v>
      </c>
      <c r="D180" s="1" t="s">
        <v>12</v>
      </c>
      <c r="E180" s="2">
        <v>1099.69</v>
      </c>
      <c r="F180" s="2">
        <v>6</v>
      </c>
      <c r="G180" s="2">
        <v>0</v>
      </c>
      <c r="H180" s="3">
        <v>45718</v>
      </c>
      <c r="I180" s="2">
        <v>439.88</v>
      </c>
      <c r="J180" s="24">
        <f t="shared" ca="1" si="3"/>
        <v>46309.874604861114</v>
      </c>
      <c r="K180" s="24"/>
      <c r="L180" s="24"/>
      <c r="M180" s="5"/>
    </row>
    <row r="181" spans="1:13" ht="15.75" thickBot="1" x14ac:dyDescent="0.3">
      <c r="A181" s="1" t="s">
        <v>52</v>
      </c>
      <c r="B181" s="1" t="s">
        <v>64</v>
      </c>
      <c r="C181" s="1" t="s">
        <v>24</v>
      </c>
      <c r="D181" s="1" t="s">
        <v>12</v>
      </c>
      <c r="E181" s="2">
        <v>710.52</v>
      </c>
      <c r="F181" s="2">
        <v>8</v>
      </c>
      <c r="G181" s="2">
        <v>0.1</v>
      </c>
      <c r="H181" s="3">
        <v>45721</v>
      </c>
      <c r="I181" s="2">
        <v>255.79</v>
      </c>
      <c r="J181" s="24">
        <f t="shared" ca="1" si="3"/>
        <v>46309.874604861114</v>
      </c>
      <c r="K181" s="24"/>
      <c r="L181" s="24"/>
      <c r="M181" s="6"/>
    </row>
    <row r="182" spans="1:13" ht="15.75" thickBot="1" x14ac:dyDescent="0.3">
      <c r="A182" s="1" t="s">
        <v>52</v>
      </c>
      <c r="B182" s="1" t="s">
        <v>59</v>
      </c>
      <c r="C182" s="1" t="s">
        <v>24</v>
      </c>
      <c r="D182" s="1" t="s">
        <v>12</v>
      </c>
      <c r="E182" s="2">
        <v>499.18</v>
      </c>
      <c r="F182" s="2">
        <v>15</v>
      </c>
      <c r="G182" s="2">
        <v>0.2</v>
      </c>
      <c r="H182" s="3">
        <v>45724</v>
      </c>
      <c r="I182" s="2">
        <v>159.74</v>
      </c>
      <c r="J182" s="24">
        <f t="shared" ca="1" si="3"/>
        <v>46309.874604861114</v>
      </c>
      <c r="K182" s="24"/>
      <c r="L182" s="24"/>
      <c r="M182" s="5"/>
    </row>
    <row r="183" spans="1:13" ht="15.75" thickBot="1" x14ac:dyDescent="0.3">
      <c r="A183" s="1" t="s">
        <v>37</v>
      </c>
      <c r="B183" s="1" t="s">
        <v>38</v>
      </c>
      <c r="C183" s="1" t="s">
        <v>20</v>
      </c>
      <c r="D183" s="1" t="s">
        <v>12</v>
      </c>
      <c r="E183" s="2">
        <v>1064.19</v>
      </c>
      <c r="F183" s="2">
        <v>18</v>
      </c>
      <c r="G183" s="2">
        <v>0.05</v>
      </c>
      <c r="H183" s="3">
        <v>45725</v>
      </c>
      <c r="I183" s="2">
        <v>404.39</v>
      </c>
      <c r="J183" s="24">
        <f t="shared" ca="1" si="3"/>
        <v>46309.874604861114</v>
      </c>
      <c r="K183" s="24"/>
      <c r="L183" s="24"/>
      <c r="M183" s="5"/>
    </row>
    <row r="184" spans="1:13" ht="15.75" thickBot="1" x14ac:dyDescent="0.3">
      <c r="A184" s="1" t="s">
        <v>67</v>
      </c>
      <c r="B184" s="1" t="s">
        <v>38</v>
      </c>
      <c r="C184" s="1" t="s">
        <v>18</v>
      </c>
      <c r="D184" s="1" t="s">
        <v>39</v>
      </c>
      <c r="E184" s="2">
        <v>438.76</v>
      </c>
      <c r="F184" s="2">
        <v>18</v>
      </c>
      <c r="G184" s="2">
        <v>0.05</v>
      </c>
      <c r="H184" s="3">
        <v>45726</v>
      </c>
      <c r="I184" s="2">
        <v>187.57</v>
      </c>
      <c r="J184" s="24">
        <f t="shared" ca="1" si="3"/>
        <v>46309.874604861114</v>
      </c>
      <c r="K184" s="24"/>
      <c r="L184" s="24"/>
      <c r="M184" s="5"/>
    </row>
    <row r="185" spans="1:13" ht="15.75" thickBot="1" x14ac:dyDescent="0.3">
      <c r="A185" s="1" t="s">
        <v>41</v>
      </c>
      <c r="B185" s="1" t="s">
        <v>55</v>
      </c>
      <c r="C185" s="1" t="s">
        <v>11</v>
      </c>
      <c r="D185" s="1" t="s">
        <v>15</v>
      </c>
      <c r="E185" s="2">
        <v>864.98</v>
      </c>
      <c r="F185" s="2">
        <v>2</v>
      </c>
      <c r="G185" s="2">
        <v>0.05</v>
      </c>
      <c r="H185" s="3">
        <v>45727</v>
      </c>
      <c r="I185" s="2">
        <v>410.87</v>
      </c>
      <c r="J185" s="24">
        <f t="shared" ca="1" si="3"/>
        <v>46309.874604861114</v>
      </c>
      <c r="K185" s="24"/>
      <c r="L185" s="24"/>
      <c r="M185" s="6"/>
    </row>
    <row r="186" spans="1:13" ht="15.75" thickBot="1" x14ac:dyDescent="0.3">
      <c r="A186" s="1" t="s">
        <v>57</v>
      </c>
      <c r="B186" s="1" t="s">
        <v>55</v>
      </c>
      <c r="C186" s="1" t="s">
        <v>11</v>
      </c>
      <c r="D186" s="1" t="s">
        <v>27</v>
      </c>
      <c r="E186" s="2">
        <v>984.93</v>
      </c>
      <c r="F186" s="2">
        <v>14</v>
      </c>
      <c r="G186" s="2">
        <v>0.2</v>
      </c>
      <c r="H186" s="3">
        <v>45733</v>
      </c>
      <c r="I186" s="2">
        <v>275.77999999999997</v>
      </c>
      <c r="J186" s="24">
        <f t="shared" ca="1" si="3"/>
        <v>46309.874604861114</v>
      </c>
      <c r="K186" s="24"/>
      <c r="L186" s="24"/>
      <c r="M186" s="5"/>
    </row>
    <row r="187" spans="1:13" ht="15.75" thickBot="1" x14ac:dyDescent="0.3">
      <c r="A187" s="1" t="s">
        <v>25</v>
      </c>
      <c r="B187" s="1" t="s">
        <v>55</v>
      </c>
      <c r="C187" s="1" t="s">
        <v>11</v>
      </c>
      <c r="D187" s="1" t="s">
        <v>15</v>
      </c>
      <c r="E187" s="2">
        <v>1493.49</v>
      </c>
      <c r="F187" s="2">
        <v>18</v>
      </c>
      <c r="G187" s="2">
        <v>0</v>
      </c>
      <c r="H187" s="3">
        <v>45734</v>
      </c>
      <c r="I187" s="2">
        <v>746.74</v>
      </c>
      <c r="J187" s="24">
        <f t="shared" ca="1" si="3"/>
        <v>46309.874604861114</v>
      </c>
      <c r="K187" s="24"/>
      <c r="L187" s="24"/>
      <c r="M187" s="5"/>
    </row>
    <row r="188" spans="1:13" ht="15.75" thickBot="1" x14ac:dyDescent="0.3">
      <c r="A188" s="1" t="s">
        <v>32</v>
      </c>
      <c r="B188" s="1" t="s">
        <v>53</v>
      </c>
      <c r="C188" s="1" t="s">
        <v>20</v>
      </c>
      <c r="D188" s="1" t="s">
        <v>15</v>
      </c>
      <c r="E188" s="2">
        <v>689.43</v>
      </c>
      <c r="F188" s="2">
        <v>9</v>
      </c>
      <c r="G188" s="2">
        <v>0.1</v>
      </c>
      <c r="H188" s="3">
        <v>45736</v>
      </c>
      <c r="I188" s="2">
        <v>310.24</v>
      </c>
      <c r="J188" s="24">
        <f t="shared" ca="1" si="3"/>
        <v>46309.874604861114</v>
      </c>
      <c r="K188" s="24"/>
      <c r="L188" s="24"/>
      <c r="M188" s="5"/>
    </row>
    <row r="189" spans="1:13" ht="15.75" thickBot="1" x14ac:dyDescent="0.3">
      <c r="A189" s="1" t="s">
        <v>40</v>
      </c>
      <c r="B189" s="1" t="s">
        <v>59</v>
      </c>
      <c r="C189" s="1" t="s">
        <v>20</v>
      </c>
      <c r="D189" s="1" t="s">
        <v>15</v>
      </c>
      <c r="E189" s="2">
        <v>682.24</v>
      </c>
      <c r="F189" s="2">
        <v>1</v>
      </c>
      <c r="G189" s="2">
        <v>0</v>
      </c>
      <c r="H189" s="3">
        <v>45738</v>
      </c>
      <c r="I189" s="2">
        <v>341.12</v>
      </c>
      <c r="J189" s="24">
        <f t="shared" ca="1" si="3"/>
        <v>46309.874604861114</v>
      </c>
      <c r="K189" s="24"/>
      <c r="L189" s="24"/>
      <c r="M189" s="6"/>
    </row>
    <row r="190" spans="1:13" ht="30.75" thickBot="1" x14ac:dyDescent="0.3">
      <c r="A190" s="1" t="s">
        <v>41</v>
      </c>
      <c r="B190" s="1" t="s">
        <v>26</v>
      </c>
      <c r="C190" s="1" t="s">
        <v>24</v>
      </c>
      <c r="D190" s="1" t="s">
        <v>21</v>
      </c>
      <c r="E190" s="2">
        <v>458.54</v>
      </c>
      <c r="F190" s="2">
        <v>15</v>
      </c>
      <c r="G190" s="2">
        <v>0.2</v>
      </c>
      <c r="H190" s="3">
        <v>45741</v>
      </c>
      <c r="I190" s="2">
        <v>91.71</v>
      </c>
      <c r="J190" s="24">
        <f t="shared" ca="1" si="3"/>
        <v>46309.874604861114</v>
      </c>
      <c r="K190" s="24"/>
      <c r="L190" s="24"/>
      <c r="M190" s="5"/>
    </row>
    <row r="191" spans="1:13" ht="30.75" thickBot="1" x14ac:dyDescent="0.3">
      <c r="A191" s="1" t="s">
        <v>32</v>
      </c>
      <c r="B191" s="1" t="s">
        <v>26</v>
      </c>
      <c r="C191" s="1" t="s">
        <v>20</v>
      </c>
      <c r="D191" s="1" t="s">
        <v>27</v>
      </c>
      <c r="E191" s="2">
        <v>1184.25</v>
      </c>
      <c r="F191" s="2">
        <v>11</v>
      </c>
      <c r="G191" s="2">
        <v>0.2</v>
      </c>
      <c r="H191" s="3">
        <v>45742</v>
      </c>
      <c r="I191" s="2">
        <v>331.59</v>
      </c>
      <c r="J191" s="24">
        <f t="shared" ca="1" si="3"/>
        <v>46309.874604861114</v>
      </c>
      <c r="K191" s="24"/>
      <c r="L191" s="24"/>
      <c r="M191" s="5"/>
    </row>
    <row r="192" spans="1:13" ht="15.75" thickBot="1" x14ac:dyDescent="0.3">
      <c r="A192" s="1" t="s">
        <v>25</v>
      </c>
      <c r="B192" s="1" t="s">
        <v>10</v>
      </c>
      <c r="C192" s="1" t="s">
        <v>20</v>
      </c>
      <c r="D192" s="1" t="s">
        <v>15</v>
      </c>
      <c r="E192" s="2">
        <v>762.14</v>
      </c>
      <c r="F192" s="2">
        <v>9</v>
      </c>
      <c r="G192" s="2">
        <v>0</v>
      </c>
      <c r="H192" s="3">
        <v>45743</v>
      </c>
      <c r="I192" s="2">
        <v>381.07</v>
      </c>
      <c r="J192" s="24">
        <f t="shared" ca="1" si="3"/>
        <v>46309.874604861114</v>
      </c>
      <c r="K192" s="24"/>
      <c r="L192" s="24"/>
      <c r="M192" s="5"/>
    </row>
    <row r="193" spans="1:13" ht="15.75" thickBot="1" x14ac:dyDescent="0.3">
      <c r="A193" s="1" t="s">
        <v>22</v>
      </c>
      <c r="B193" s="1" t="s">
        <v>53</v>
      </c>
      <c r="C193" s="1" t="s">
        <v>24</v>
      </c>
      <c r="D193" s="1" t="s">
        <v>12</v>
      </c>
      <c r="E193" s="2">
        <v>750.71</v>
      </c>
      <c r="F193" s="2">
        <v>10</v>
      </c>
      <c r="G193" s="2">
        <v>0.15</v>
      </c>
      <c r="H193" s="3">
        <v>45743</v>
      </c>
      <c r="I193" s="2">
        <v>255.24</v>
      </c>
      <c r="J193" s="24">
        <f t="shared" ca="1" si="3"/>
        <v>46309.874604861114</v>
      </c>
      <c r="K193" s="24"/>
      <c r="L193" s="24"/>
      <c r="M193" s="6"/>
    </row>
    <row r="194" spans="1:13" ht="15.75" thickBot="1" x14ac:dyDescent="0.3">
      <c r="A194" s="1" t="s">
        <v>75</v>
      </c>
      <c r="B194" s="1" t="s">
        <v>71</v>
      </c>
      <c r="C194" s="1" t="s">
        <v>34</v>
      </c>
      <c r="D194" s="1" t="s">
        <v>15</v>
      </c>
      <c r="E194" s="2">
        <v>1456.94</v>
      </c>
      <c r="F194" s="2">
        <v>14</v>
      </c>
      <c r="G194" s="2">
        <v>0.05</v>
      </c>
      <c r="H194" s="3">
        <v>45745</v>
      </c>
      <c r="I194" s="2">
        <v>692.05</v>
      </c>
      <c r="J194" s="24">
        <f t="shared" ca="1" si="3"/>
        <v>46309.874604861114</v>
      </c>
      <c r="K194" s="24"/>
      <c r="L194" s="24"/>
      <c r="M194" s="5"/>
    </row>
    <row r="195" spans="1:13" ht="15.75" thickBot="1" x14ac:dyDescent="0.3">
      <c r="A195" s="1" t="s">
        <v>44</v>
      </c>
      <c r="B195" s="1" t="s">
        <v>61</v>
      </c>
      <c r="C195" s="1" t="s">
        <v>18</v>
      </c>
      <c r="D195" s="1" t="s">
        <v>27</v>
      </c>
      <c r="E195" s="2">
        <v>1093.3800000000001</v>
      </c>
      <c r="F195" s="2">
        <v>17</v>
      </c>
      <c r="G195" s="2">
        <v>0.1</v>
      </c>
      <c r="H195" s="3">
        <v>45745</v>
      </c>
      <c r="I195" s="2">
        <v>344.41</v>
      </c>
      <c r="J195" s="24">
        <f t="shared" ref="J195:J201" ca="1" si="4">NOW()</f>
        <v>46309.874604861114</v>
      </c>
      <c r="K195" s="24"/>
      <c r="L195" s="24"/>
      <c r="M195" s="5"/>
    </row>
    <row r="196" spans="1:13" ht="15.75" thickBot="1" x14ac:dyDescent="0.3">
      <c r="A196" s="1" t="s">
        <v>37</v>
      </c>
      <c r="B196" s="1" t="s">
        <v>43</v>
      </c>
      <c r="C196" s="1" t="s">
        <v>11</v>
      </c>
      <c r="D196" s="1" t="s">
        <v>15</v>
      </c>
      <c r="E196" s="2">
        <v>934.27</v>
      </c>
      <c r="F196" s="2">
        <v>8</v>
      </c>
      <c r="G196" s="2">
        <v>0.15</v>
      </c>
      <c r="H196" s="3">
        <v>45746</v>
      </c>
      <c r="I196" s="2">
        <v>397.06</v>
      </c>
      <c r="J196" s="24">
        <f t="shared" ca="1" si="4"/>
        <v>46309.874604861114</v>
      </c>
      <c r="K196" s="24"/>
      <c r="L196" s="24"/>
      <c r="M196" s="5"/>
    </row>
    <row r="197" spans="1:13" ht="15.75" thickBot="1" x14ac:dyDescent="0.3">
      <c r="A197" s="1" t="s">
        <v>70</v>
      </c>
      <c r="B197" s="1" t="s">
        <v>36</v>
      </c>
      <c r="C197" s="1" t="s">
        <v>34</v>
      </c>
      <c r="D197" s="1" t="s">
        <v>15</v>
      </c>
      <c r="E197" s="2">
        <v>1465.35</v>
      </c>
      <c r="F197" s="2">
        <v>8</v>
      </c>
      <c r="G197" s="2">
        <v>0.2</v>
      </c>
      <c r="H197" s="3">
        <v>45746</v>
      </c>
      <c r="I197" s="2">
        <v>586.14</v>
      </c>
      <c r="J197" s="24">
        <f t="shared" ca="1" si="4"/>
        <v>46309.874604861114</v>
      </c>
      <c r="K197" s="24"/>
      <c r="L197" s="24"/>
      <c r="M197" s="6"/>
    </row>
    <row r="198" spans="1:13" ht="30.75" thickBot="1" x14ac:dyDescent="0.3">
      <c r="A198" s="1" t="s">
        <v>52</v>
      </c>
      <c r="B198" s="1" t="s">
        <v>14</v>
      </c>
      <c r="C198" s="1" t="s">
        <v>20</v>
      </c>
      <c r="D198" s="1" t="s">
        <v>39</v>
      </c>
      <c r="E198" s="2">
        <v>740.8</v>
      </c>
      <c r="F198" s="2">
        <v>3</v>
      </c>
      <c r="G198" s="2">
        <v>0</v>
      </c>
      <c r="H198" s="3">
        <v>45749</v>
      </c>
      <c r="I198" s="2">
        <v>333.36</v>
      </c>
      <c r="J198" s="24">
        <f t="shared" ca="1" si="4"/>
        <v>46309.874604861114</v>
      </c>
      <c r="K198" s="24"/>
      <c r="L198" s="24"/>
      <c r="M198" s="5"/>
    </row>
    <row r="199" spans="1:13" ht="15.75" thickBot="1" x14ac:dyDescent="0.3">
      <c r="A199" s="1" t="s">
        <v>58</v>
      </c>
      <c r="B199" s="1" t="s">
        <v>43</v>
      </c>
      <c r="C199" s="1" t="s">
        <v>11</v>
      </c>
      <c r="D199" s="1" t="s">
        <v>39</v>
      </c>
      <c r="E199" s="2">
        <v>545.44000000000005</v>
      </c>
      <c r="F199" s="2">
        <v>17</v>
      </c>
      <c r="G199" s="2">
        <v>0</v>
      </c>
      <c r="H199" s="3">
        <v>45752</v>
      </c>
      <c r="I199" s="2">
        <v>245.45</v>
      </c>
      <c r="J199" s="24">
        <f t="shared" ca="1" si="4"/>
        <v>46309.874604861114</v>
      </c>
      <c r="K199" s="24"/>
      <c r="L199" s="24"/>
      <c r="M199" s="5"/>
    </row>
    <row r="200" spans="1:13" ht="15.75" thickBot="1" x14ac:dyDescent="0.3">
      <c r="A200" s="1" t="s">
        <v>35</v>
      </c>
      <c r="B200" s="1" t="s">
        <v>36</v>
      </c>
      <c r="C200" s="1" t="s">
        <v>18</v>
      </c>
      <c r="D200" s="1" t="s">
        <v>12</v>
      </c>
      <c r="E200" s="2">
        <v>997.61</v>
      </c>
      <c r="F200" s="2">
        <v>8</v>
      </c>
      <c r="G200" s="2">
        <v>0.05</v>
      </c>
      <c r="H200" s="3">
        <v>45752</v>
      </c>
      <c r="I200" s="2">
        <v>379.09</v>
      </c>
      <c r="J200" s="24">
        <f t="shared" ca="1" si="4"/>
        <v>46309.874604861114</v>
      </c>
      <c r="K200" s="24"/>
      <c r="L200" s="24"/>
      <c r="M200" s="5"/>
    </row>
    <row r="201" spans="1:13" ht="15.75" thickBot="1" x14ac:dyDescent="0.3">
      <c r="A201" s="1" t="s">
        <v>60</v>
      </c>
      <c r="B201" s="1" t="s">
        <v>36</v>
      </c>
      <c r="C201" s="1" t="s">
        <v>20</v>
      </c>
      <c r="D201" s="1" t="s">
        <v>15</v>
      </c>
      <c r="E201" s="2">
        <v>928.32</v>
      </c>
      <c r="F201" s="2">
        <v>2</v>
      </c>
      <c r="G201" s="2">
        <v>0.05</v>
      </c>
      <c r="H201" s="3">
        <v>45754</v>
      </c>
      <c r="I201" s="2">
        <v>440.95</v>
      </c>
      <c r="J201" s="24">
        <f t="shared" ca="1" si="4"/>
        <v>46309.874604861114</v>
      </c>
      <c r="K201" s="24"/>
      <c r="L201" s="24"/>
      <c r="M201" s="6"/>
    </row>
  </sheetData>
  <scenarios current="0" show="0" sqref="L3">
    <scenario name="25% Discount Scenario" locked="1" count="1" user="FUZITSU" comment="Created by FUZITSU on 14-10-2026">
      <inputCells r="G2" val="0.2"/>
    </scenario>
  </scenarios>
  <dataConsolidate/>
  <conditionalFormatting sqref="B1:B1048576">
    <cfRule type="expression" dxfId="11" priority="6">
      <formula>SUMIF($B$2:$B$201, $B2, $E$2:$E$201) &gt;= LARGE(SUMIF($B$2:$B$201, $B$2:$B$201, $E$2:$E$201), 10)</formula>
    </cfRule>
  </conditionalFormatting>
  <conditionalFormatting sqref="N2">
    <cfRule type="expression" dxfId="10" priority="5">
      <formula>SUMIF($B$2:$B$201, $B3, $E$2:$E$201) &gt;= LARGE(SUMIF($B$2:$B$201, $B$2:$B$201, $E$2:$E$201), 10)</formula>
    </cfRule>
  </conditionalFormatting>
  <conditionalFormatting sqref="N3">
    <cfRule type="expression" dxfId="9" priority="4">
      <formula>SUMIF($B$2:$B$201, $B4, $E$2:$E$201) &gt;= LARGE(SUMIF($B$2:$B$201, $B$2:$B$201, $E$2:$E$201), 10)</formula>
    </cfRule>
  </conditionalFormatting>
  <conditionalFormatting sqref="N4">
    <cfRule type="expression" dxfId="8" priority="3">
      <formula>SUMIF($B$2:$B$201, $B5, $E$2:$E$201) &gt;= LARGE(SUMIF($B$2:$B$201, $B$2:$B$201, $E$2:$E$201), 10)</formula>
    </cfRule>
  </conditionalFormatting>
  <conditionalFormatting sqref="N5">
    <cfRule type="expression" dxfId="7" priority="2">
      <formula>SUMIF($B$2:$B$201, $B6, $E$2:$E$201) &gt;= LARGE(SUMIF($B$2:$B$201, $B$2:$B$201, $E$2:$E$201), 10)</formula>
    </cfRule>
  </conditionalFormatting>
  <conditionalFormatting sqref="N6">
    <cfRule type="expression" dxfId="6" priority="1">
      <formula>SUMIF($B$2:$B$201, $B7, $E$2:$E$201) &gt;= LARGE(SUMIF($B$2:$B$201, $B$2:$B$201, $E$2:$E$201), 10)</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CF0F3-4D57-42F6-A560-6AA0396760F8}">
  <sheetPr>
    <outlinePr summaryBelow="0"/>
  </sheetPr>
  <dimension ref="B1:E11"/>
  <sheetViews>
    <sheetView showGridLines="0" workbookViewId="0"/>
  </sheetViews>
  <sheetFormatPr defaultRowHeight="15" outlineLevelRow="1" outlineLevelCol="1" x14ac:dyDescent="0.25"/>
  <cols>
    <col min="3" max="3" width="5.42578125" bestFit="1" customWidth="1"/>
    <col min="4" max="5" width="19.28515625" bestFit="1" customWidth="1" outlineLevel="1"/>
  </cols>
  <sheetData>
    <row r="1" spans="2:5" ht="15.75" thickBot="1" x14ac:dyDescent="0.3"/>
    <row r="2" spans="2:5" ht="15.75" x14ac:dyDescent="0.25">
      <c r="B2" s="11" t="s">
        <v>80</v>
      </c>
      <c r="C2" s="11"/>
      <c r="D2" s="16"/>
      <c r="E2" s="16"/>
    </row>
    <row r="3" spans="2:5" ht="15.75" collapsed="1" x14ac:dyDescent="0.25">
      <c r="B3" s="10"/>
      <c r="C3" s="10"/>
      <c r="D3" s="17" t="s">
        <v>82</v>
      </c>
      <c r="E3" s="17" t="s">
        <v>78</v>
      </c>
    </row>
    <row r="4" spans="2:5" ht="22.5" hidden="1" outlineLevel="1" x14ac:dyDescent="0.25">
      <c r="B4" s="13"/>
      <c r="C4" s="13"/>
      <c r="D4" s="8"/>
      <c r="E4" s="19" t="s">
        <v>79</v>
      </c>
    </row>
    <row r="5" spans="2:5" x14ac:dyDescent="0.25">
      <c r="B5" s="14" t="s">
        <v>81</v>
      </c>
      <c r="C5" s="14"/>
      <c r="D5" s="12"/>
      <c r="E5" s="12"/>
    </row>
    <row r="6" spans="2:5" outlineLevel="1" x14ac:dyDescent="0.25">
      <c r="B6" s="13"/>
      <c r="C6" s="13" t="s">
        <v>76</v>
      </c>
      <c r="D6" s="8">
        <v>0.2</v>
      </c>
      <c r="E6" s="18">
        <v>0.2</v>
      </c>
    </row>
    <row r="7" spans="2:5" x14ac:dyDescent="0.25">
      <c r="B7" s="14" t="s">
        <v>83</v>
      </c>
      <c r="C7" s="14"/>
      <c r="D7" s="12"/>
      <c r="E7" s="12"/>
    </row>
    <row r="8" spans="2:5" ht="15.75" outlineLevel="1" thickBot="1" x14ac:dyDescent="0.3">
      <c r="B8" s="15"/>
      <c r="C8" s="15" t="s">
        <v>77</v>
      </c>
      <c r="D8" s="9">
        <v>68287.009999999995</v>
      </c>
      <c r="E8" s="9">
        <v>68287.009999999995</v>
      </c>
    </row>
    <row r="9" spans="2:5" x14ac:dyDescent="0.25">
      <c r="B9" t="s">
        <v>84</v>
      </c>
    </row>
    <row r="10" spans="2:5" x14ac:dyDescent="0.25">
      <c r="B10" t="s">
        <v>85</v>
      </c>
    </row>
    <row r="11" spans="2:5" x14ac:dyDescent="0.25">
      <c r="B11" t="s">
        <v>86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6C342-A985-411B-B313-AC666576CF6F}">
  <dimension ref="A1:I223"/>
  <sheetViews>
    <sheetView workbookViewId="0">
      <selection activeCell="B1" sqref="B1"/>
    </sheetView>
  </sheetViews>
  <sheetFormatPr defaultRowHeight="15" x14ac:dyDescent="0.25"/>
  <sheetData>
    <row r="1" spans="1:9" x14ac:dyDescent="0.25">
      <c r="A1" t="s">
        <v>87</v>
      </c>
    </row>
    <row r="2" spans="1:9" ht="15.75" thickBot="1" x14ac:dyDescent="0.3"/>
    <row r="3" spans="1:9" x14ac:dyDescent="0.25">
      <c r="A3" s="21" t="s">
        <v>88</v>
      </c>
      <c r="B3" s="21"/>
    </row>
    <row r="4" spans="1:9" x14ac:dyDescent="0.25">
      <c r="A4" s="8" t="s">
        <v>89</v>
      </c>
      <c r="B4" s="8">
        <v>0.77356566420146511</v>
      </c>
    </row>
    <row r="5" spans="1:9" x14ac:dyDescent="0.25">
      <c r="A5" s="8" t="s">
        <v>90</v>
      </c>
      <c r="B5" s="8">
        <v>0.59840383683145382</v>
      </c>
    </row>
    <row r="6" spans="1:9" x14ac:dyDescent="0.25">
      <c r="A6" s="8" t="s">
        <v>91</v>
      </c>
      <c r="B6" s="8">
        <v>0.59636527762755254</v>
      </c>
    </row>
    <row r="7" spans="1:9" x14ac:dyDescent="0.25">
      <c r="A7" s="8" t="s">
        <v>92</v>
      </c>
      <c r="B7" s="8">
        <v>86.471707018508098</v>
      </c>
    </row>
    <row r="8" spans="1:9" ht="15.75" thickBot="1" x14ac:dyDescent="0.3">
      <c r="A8" s="9" t="s">
        <v>93</v>
      </c>
      <c r="B8" s="9">
        <v>199</v>
      </c>
    </row>
    <row r="10" spans="1:9" ht="15.75" thickBot="1" x14ac:dyDescent="0.3">
      <c r="A10" t="s">
        <v>94</v>
      </c>
    </row>
    <row r="11" spans="1:9" x14ac:dyDescent="0.25">
      <c r="A11" s="20"/>
      <c r="B11" s="20" t="s">
        <v>99</v>
      </c>
      <c r="C11" s="20" t="s">
        <v>100</v>
      </c>
      <c r="D11" s="20" t="s">
        <v>101</v>
      </c>
      <c r="E11" s="20" t="s">
        <v>102</v>
      </c>
      <c r="F11" s="20" t="s">
        <v>103</v>
      </c>
    </row>
    <row r="12" spans="1:9" x14ac:dyDescent="0.25">
      <c r="A12" s="8" t="s">
        <v>95</v>
      </c>
      <c r="B12" s="8">
        <v>1</v>
      </c>
      <c r="C12" s="8">
        <v>2194922.0703649437</v>
      </c>
      <c r="D12" s="8">
        <v>2194922.0703649437</v>
      </c>
      <c r="E12" s="8">
        <v>293.54253518184368</v>
      </c>
      <c r="F12" s="8">
        <v>6.8782375878390769E-41</v>
      </c>
    </row>
    <row r="13" spans="1:9" x14ac:dyDescent="0.25">
      <c r="A13" s="8" t="s">
        <v>96</v>
      </c>
      <c r="B13" s="8">
        <v>197</v>
      </c>
      <c r="C13" s="8">
        <v>1473039.1545948565</v>
      </c>
      <c r="D13" s="8">
        <v>7477.3561146947031</v>
      </c>
      <c r="E13" s="8"/>
      <c r="F13" s="8"/>
    </row>
    <row r="14" spans="1:9" ht="15.75" thickBot="1" x14ac:dyDescent="0.3">
      <c r="A14" s="9" t="s">
        <v>97</v>
      </c>
      <c r="B14" s="9">
        <v>198</v>
      </c>
      <c r="C14" s="9">
        <v>3667961.2249598</v>
      </c>
      <c r="D14" s="9"/>
      <c r="E14" s="9"/>
      <c r="F14" s="9"/>
    </row>
    <row r="15" spans="1:9" ht="15.75" thickBot="1" x14ac:dyDescent="0.3"/>
    <row r="16" spans="1:9" x14ac:dyDescent="0.25">
      <c r="A16" s="20"/>
      <c r="B16" s="20" t="s">
        <v>104</v>
      </c>
      <c r="C16" s="20" t="s">
        <v>92</v>
      </c>
      <c r="D16" s="20" t="s">
        <v>105</v>
      </c>
      <c r="E16" s="20" t="s">
        <v>106</v>
      </c>
      <c r="F16" s="20" t="s">
        <v>107</v>
      </c>
      <c r="G16" s="20" t="s">
        <v>108</v>
      </c>
      <c r="H16" s="20" t="s">
        <v>109</v>
      </c>
      <c r="I16" s="20" t="s">
        <v>110</v>
      </c>
    </row>
    <row r="17" spans="1:9" x14ac:dyDescent="0.25">
      <c r="A17" s="8" t="s">
        <v>98</v>
      </c>
      <c r="B17" s="8">
        <v>-0.97824544662927337</v>
      </c>
      <c r="C17" s="8">
        <v>20.907197536053534</v>
      </c>
      <c r="D17" s="8">
        <v>-4.6789888742493228E-2</v>
      </c>
      <c r="E17" s="8">
        <v>0.96272808608450733</v>
      </c>
      <c r="F17" s="8">
        <v>-42.208891362546005</v>
      </c>
      <c r="G17" s="8">
        <v>40.252400469287458</v>
      </c>
      <c r="H17" s="8">
        <v>-42.208891362546005</v>
      </c>
      <c r="I17" s="8">
        <v>40.252400469287458</v>
      </c>
    </row>
    <row r="18" spans="1:9" ht="15.75" thickBot="1" x14ac:dyDescent="0.3">
      <c r="A18" s="9">
        <v>1036.0899999999999</v>
      </c>
      <c r="B18" s="9">
        <v>0.35096067947030868</v>
      </c>
      <c r="C18" s="9">
        <v>2.0484385572447462E-2</v>
      </c>
      <c r="D18" s="9">
        <v>17.133083061196064</v>
      </c>
      <c r="E18" s="9">
        <v>6.8782375878393705E-41</v>
      </c>
      <c r="F18" s="9">
        <v>0.31056385216305021</v>
      </c>
      <c r="G18" s="9">
        <v>0.39135750677756714</v>
      </c>
      <c r="H18" s="9">
        <v>0.31056385216305021</v>
      </c>
      <c r="I18" s="9">
        <v>0.39135750677756714</v>
      </c>
    </row>
    <row r="22" spans="1:9" x14ac:dyDescent="0.25">
      <c r="A22" t="s">
        <v>111</v>
      </c>
    </row>
    <row r="23" spans="1:9" ht="15.75" thickBot="1" x14ac:dyDescent="0.3"/>
    <row r="24" spans="1:9" x14ac:dyDescent="0.25">
      <c r="A24" s="20" t="s">
        <v>112</v>
      </c>
      <c r="B24" s="20" t="s">
        <v>113</v>
      </c>
      <c r="C24" s="20" t="s">
        <v>114</v>
      </c>
    </row>
    <row r="25" spans="1:9" x14ac:dyDescent="0.25">
      <c r="A25" s="8">
        <v>1</v>
      </c>
      <c r="B25" s="8">
        <v>385.52773164043225</v>
      </c>
      <c r="C25" s="8">
        <v>54.98226835956774</v>
      </c>
    </row>
    <row r="26" spans="1:9" x14ac:dyDescent="0.25">
      <c r="A26" s="8">
        <v>2</v>
      </c>
      <c r="B26" s="8">
        <v>249.37604564672074</v>
      </c>
      <c r="C26" s="8">
        <v>35.963954353279235</v>
      </c>
    </row>
    <row r="27" spans="1:9" x14ac:dyDescent="0.25">
      <c r="A27" s="8">
        <v>3</v>
      </c>
      <c r="B27" s="8">
        <v>266.07826438271269</v>
      </c>
      <c r="C27" s="8">
        <v>-104.3782643827127</v>
      </c>
    </row>
    <row r="28" spans="1:9" x14ac:dyDescent="0.25">
      <c r="A28" s="8">
        <v>4</v>
      </c>
      <c r="B28" s="8">
        <v>296.28545006472217</v>
      </c>
      <c r="C28" s="8">
        <v>-25.245450064722149</v>
      </c>
    </row>
    <row r="29" spans="1:9" x14ac:dyDescent="0.25">
      <c r="A29" s="8">
        <v>5</v>
      </c>
      <c r="B29" s="8">
        <v>337.92342507707957</v>
      </c>
      <c r="C29" s="8">
        <v>-33.743425077079564</v>
      </c>
    </row>
    <row r="30" spans="1:9" x14ac:dyDescent="0.25">
      <c r="A30" s="8">
        <v>6</v>
      </c>
      <c r="B30" s="8">
        <v>461.42297857588653</v>
      </c>
      <c r="C30" s="8">
        <v>-148.51297857588651</v>
      </c>
    </row>
    <row r="31" spans="1:9" x14ac:dyDescent="0.25">
      <c r="A31" s="8">
        <v>7</v>
      </c>
      <c r="B31" s="8">
        <v>376.11847582383331</v>
      </c>
      <c r="C31" s="8">
        <v>-75.268475823833285</v>
      </c>
    </row>
    <row r="32" spans="1:9" x14ac:dyDescent="0.25">
      <c r="A32" s="8">
        <v>8</v>
      </c>
      <c r="B32" s="8">
        <v>175.04257373490935</v>
      </c>
      <c r="C32" s="8">
        <v>15.54742626509065</v>
      </c>
    </row>
    <row r="33" spans="1:3" x14ac:dyDescent="0.25">
      <c r="A33" s="8">
        <v>9</v>
      </c>
      <c r="B33" s="8">
        <v>257.78857313362403</v>
      </c>
      <c r="C33" s="8">
        <v>92.431426866376</v>
      </c>
    </row>
    <row r="34" spans="1:3" x14ac:dyDescent="0.25">
      <c r="A34" s="8">
        <v>10</v>
      </c>
      <c r="B34" s="8">
        <v>551.01973043786165</v>
      </c>
      <c r="C34" s="8">
        <v>121.36026956213834</v>
      </c>
    </row>
    <row r="35" spans="1:3" x14ac:dyDescent="0.25">
      <c r="A35" s="8">
        <v>11</v>
      </c>
      <c r="B35" s="8">
        <v>470.40757197032644</v>
      </c>
      <c r="C35" s="8">
        <v>-13.747571970326419</v>
      </c>
    </row>
    <row r="36" spans="1:3" x14ac:dyDescent="0.25">
      <c r="A36" s="8">
        <v>12</v>
      </c>
      <c r="B36" s="8">
        <v>417.21948099660113</v>
      </c>
      <c r="C36" s="8">
        <v>35.580519003398877</v>
      </c>
    </row>
    <row r="37" spans="1:3" x14ac:dyDescent="0.25">
      <c r="A37" s="8">
        <v>13</v>
      </c>
      <c r="B37" s="8">
        <v>287.60970206821617</v>
      </c>
      <c r="C37" s="8">
        <v>-14.199702068216141</v>
      </c>
    </row>
    <row r="38" spans="1:3" x14ac:dyDescent="0.25">
      <c r="A38" s="8">
        <v>14</v>
      </c>
      <c r="B38" s="8">
        <v>182.10741221264664</v>
      </c>
      <c r="C38" s="8">
        <v>-26.907412212646648</v>
      </c>
    </row>
    <row r="39" spans="1:3" x14ac:dyDescent="0.25">
      <c r="A39" s="8">
        <v>15</v>
      </c>
      <c r="B39" s="8">
        <v>526.49108854968176</v>
      </c>
      <c r="C39" s="8">
        <v>-225.90108854968179</v>
      </c>
    </row>
    <row r="40" spans="1:3" x14ac:dyDescent="0.25">
      <c r="A40" s="8">
        <v>16</v>
      </c>
      <c r="B40" s="8">
        <v>307.0178276429242</v>
      </c>
      <c r="C40" s="8">
        <v>-8.6378276429242078</v>
      </c>
    </row>
    <row r="41" spans="1:3" x14ac:dyDescent="0.25">
      <c r="A41" s="8">
        <v>17</v>
      </c>
      <c r="B41" s="8">
        <v>222.47841917211628</v>
      </c>
      <c r="C41" s="8">
        <v>-18.738419172116267</v>
      </c>
    </row>
    <row r="42" spans="1:3" x14ac:dyDescent="0.25">
      <c r="A42" s="8">
        <v>18</v>
      </c>
      <c r="B42" s="8">
        <v>527.61767233078149</v>
      </c>
      <c r="C42" s="8">
        <v>-45.657672330781509</v>
      </c>
    </row>
    <row r="43" spans="1:3" x14ac:dyDescent="0.25">
      <c r="A43" s="8">
        <v>19</v>
      </c>
      <c r="B43" s="8">
        <v>225.39841202530923</v>
      </c>
      <c r="C43" s="8">
        <v>-64.138412025309236</v>
      </c>
    </row>
    <row r="44" spans="1:3" x14ac:dyDescent="0.25">
      <c r="A44" s="8">
        <v>20</v>
      </c>
      <c r="B44" s="8">
        <v>333.59257029241599</v>
      </c>
      <c r="C44" s="8">
        <v>143.05742970758399</v>
      </c>
    </row>
    <row r="45" spans="1:3" x14ac:dyDescent="0.25">
      <c r="A45" s="8">
        <v>21</v>
      </c>
      <c r="B45" s="8">
        <v>135.39103616835388</v>
      </c>
      <c r="C45" s="8">
        <v>-52.821036168353885</v>
      </c>
    </row>
    <row r="46" spans="1:3" x14ac:dyDescent="0.25">
      <c r="A46" s="8">
        <v>22</v>
      </c>
      <c r="B46" s="8">
        <v>259.84520271532</v>
      </c>
      <c r="C46" s="8">
        <v>37.424797284679983</v>
      </c>
    </row>
    <row r="47" spans="1:3" x14ac:dyDescent="0.25">
      <c r="A47" s="8">
        <v>23</v>
      </c>
      <c r="B47" s="8">
        <v>246.92984971081268</v>
      </c>
      <c r="C47" s="8">
        <v>-70.339849710812672</v>
      </c>
    </row>
    <row r="48" spans="1:3" x14ac:dyDescent="0.25">
      <c r="A48" s="8">
        <v>24</v>
      </c>
      <c r="B48" s="8">
        <v>323.76918087404204</v>
      </c>
      <c r="C48" s="8">
        <v>50.980819125957964</v>
      </c>
    </row>
    <row r="49" spans="1:3" x14ac:dyDescent="0.25">
      <c r="A49" s="8">
        <v>25</v>
      </c>
      <c r="B49" s="8">
        <v>410.7407468535792</v>
      </c>
      <c r="C49" s="8">
        <v>-117.46074685357922</v>
      </c>
    </row>
    <row r="50" spans="1:3" x14ac:dyDescent="0.25">
      <c r="A50" s="8">
        <v>26</v>
      </c>
      <c r="B50" s="8">
        <v>236.10973196274304</v>
      </c>
      <c r="C50" s="8">
        <v>0.33026803725695686</v>
      </c>
    </row>
    <row r="51" spans="1:3" x14ac:dyDescent="0.25">
      <c r="A51" s="8">
        <v>27</v>
      </c>
      <c r="B51" s="8">
        <v>328.60541903714289</v>
      </c>
      <c r="C51" s="8">
        <v>28.244580962857128</v>
      </c>
    </row>
    <row r="52" spans="1:3" x14ac:dyDescent="0.25">
      <c r="A52" s="8">
        <v>28</v>
      </c>
      <c r="B52" s="8">
        <v>344.1354291037041</v>
      </c>
      <c r="C52" s="8">
        <v>54.114570896295902</v>
      </c>
    </row>
    <row r="53" spans="1:3" x14ac:dyDescent="0.25">
      <c r="A53" s="8">
        <v>29</v>
      </c>
      <c r="B53" s="8">
        <v>280.21496055177676</v>
      </c>
      <c r="C53" s="8">
        <v>-119.97496055177675</v>
      </c>
    </row>
    <row r="54" spans="1:3" x14ac:dyDescent="0.25">
      <c r="A54" s="8">
        <v>30</v>
      </c>
      <c r="B54" s="8">
        <v>508.16392186774226</v>
      </c>
      <c r="C54" s="8">
        <v>-181.75392186774224</v>
      </c>
    </row>
    <row r="55" spans="1:3" x14ac:dyDescent="0.25">
      <c r="A55" s="8">
        <v>31</v>
      </c>
      <c r="B55" s="8">
        <v>358.12823139418526</v>
      </c>
      <c r="C55" s="8">
        <v>30.69176860581473</v>
      </c>
    </row>
    <row r="56" spans="1:3" x14ac:dyDescent="0.25">
      <c r="A56" s="8">
        <v>32</v>
      </c>
      <c r="B56" s="8">
        <v>298.64390583076266</v>
      </c>
      <c r="C56" s="8">
        <v>-44.663905830762673</v>
      </c>
    </row>
    <row r="57" spans="1:3" x14ac:dyDescent="0.25">
      <c r="A57" s="8">
        <v>33</v>
      </c>
      <c r="B57" s="8">
        <v>338.71308660588778</v>
      </c>
      <c r="C57" s="8">
        <v>-120.93308660588778</v>
      </c>
    </row>
    <row r="58" spans="1:3" x14ac:dyDescent="0.25">
      <c r="A58" s="8">
        <v>34</v>
      </c>
      <c r="B58" s="8">
        <v>420.49043452926446</v>
      </c>
      <c r="C58" s="8">
        <v>92.889565470735533</v>
      </c>
    </row>
    <row r="59" spans="1:3" x14ac:dyDescent="0.25">
      <c r="A59" s="8">
        <v>35</v>
      </c>
      <c r="B59" s="8">
        <v>164.80856032155515</v>
      </c>
      <c r="C59" s="8">
        <v>-13.648560321555152</v>
      </c>
    </row>
    <row r="60" spans="1:3" x14ac:dyDescent="0.25">
      <c r="A60" s="8">
        <v>36</v>
      </c>
      <c r="B60" s="8">
        <v>294.15160913354271</v>
      </c>
      <c r="C60" s="8">
        <v>65.338390866457303</v>
      </c>
    </row>
    <row r="61" spans="1:3" x14ac:dyDescent="0.25">
      <c r="A61" s="8">
        <v>37</v>
      </c>
      <c r="B61" s="8">
        <v>493.89737024727418</v>
      </c>
      <c r="C61" s="8">
        <v>-25.057370247274207</v>
      </c>
    </row>
    <row r="62" spans="1:3" x14ac:dyDescent="0.25">
      <c r="A62" s="8">
        <v>38</v>
      </c>
      <c r="B62" s="8">
        <v>270.34594624507167</v>
      </c>
      <c r="C62" s="8">
        <v>-40.355946245071664</v>
      </c>
    </row>
    <row r="63" spans="1:3" x14ac:dyDescent="0.25">
      <c r="A63" s="8">
        <v>39</v>
      </c>
      <c r="B63" s="8">
        <v>202.72986173832197</v>
      </c>
      <c r="C63" s="8">
        <v>-5.3798617383219778</v>
      </c>
    </row>
    <row r="64" spans="1:3" x14ac:dyDescent="0.25">
      <c r="A64" s="8">
        <v>40</v>
      </c>
      <c r="B64" s="8">
        <v>403.05119836638477</v>
      </c>
      <c r="C64" s="8">
        <v>11.38880163361523</v>
      </c>
    </row>
    <row r="65" spans="1:3" x14ac:dyDescent="0.25">
      <c r="A65" s="8">
        <v>41</v>
      </c>
      <c r="B65" s="8">
        <v>359.10039247631801</v>
      </c>
      <c r="C65" s="8">
        <v>10.249607523682016</v>
      </c>
    </row>
    <row r="66" spans="1:3" x14ac:dyDescent="0.25">
      <c r="A66" s="8">
        <v>42</v>
      </c>
      <c r="B66" s="8">
        <v>194.30329582423985</v>
      </c>
      <c r="C66" s="8">
        <v>18.526704175760159</v>
      </c>
    </row>
    <row r="67" spans="1:3" x14ac:dyDescent="0.25">
      <c r="A67" s="8">
        <v>43</v>
      </c>
      <c r="B67" s="8">
        <v>294.12704188597979</v>
      </c>
      <c r="C67" s="8">
        <v>8.5829581140201867</v>
      </c>
    </row>
    <row r="68" spans="1:3" x14ac:dyDescent="0.25">
      <c r="A68" s="8">
        <v>44</v>
      </c>
      <c r="B68" s="8">
        <v>429.73824843330704</v>
      </c>
      <c r="C68" s="8">
        <v>-64.628248433307022</v>
      </c>
    </row>
    <row r="69" spans="1:3" x14ac:dyDescent="0.25">
      <c r="A69" s="8">
        <v>45</v>
      </c>
      <c r="B69" s="8">
        <v>299.6897686555842</v>
      </c>
      <c r="C69" s="8">
        <v>-85.509768655584196</v>
      </c>
    </row>
    <row r="70" spans="1:3" x14ac:dyDescent="0.25">
      <c r="A70" s="8">
        <v>46</v>
      </c>
      <c r="B70" s="8">
        <v>429.09599038987642</v>
      </c>
      <c r="C70" s="8">
        <v>39.624009610123608</v>
      </c>
    </row>
    <row r="71" spans="1:3" x14ac:dyDescent="0.25">
      <c r="A71" s="8">
        <v>47</v>
      </c>
      <c r="B71" s="8">
        <v>350.53344229044779</v>
      </c>
      <c r="C71" s="8">
        <v>100.17655770955218</v>
      </c>
    </row>
    <row r="72" spans="1:3" x14ac:dyDescent="0.25">
      <c r="A72" s="8">
        <v>48</v>
      </c>
      <c r="B72" s="8">
        <v>415.55943698270653</v>
      </c>
      <c r="C72" s="8">
        <v>-83.239436982706536</v>
      </c>
    </row>
    <row r="73" spans="1:3" x14ac:dyDescent="0.25">
      <c r="A73" s="8">
        <v>49</v>
      </c>
      <c r="B73" s="8">
        <v>271.17421344862163</v>
      </c>
      <c r="C73" s="8">
        <v>-96.694213448621639</v>
      </c>
    </row>
    <row r="74" spans="1:3" x14ac:dyDescent="0.25">
      <c r="A74" s="8">
        <v>50</v>
      </c>
      <c r="B74" s="8">
        <v>357.51755981190695</v>
      </c>
      <c r="C74" s="8">
        <v>-114.91755981190695</v>
      </c>
    </row>
    <row r="75" spans="1:3" x14ac:dyDescent="0.25">
      <c r="A75" s="8">
        <v>51</v>
      </c>
      <c r="B75" s="8">
        <v>429.5171432052407</v>
      </c>
      <c r="C75" s="8">
        <v>122.46285679475932</v>
      </c>
    </row>
    <row r="76" spans="1:3" x14ac:dyDescent="0.25">
      <c r="A76" s="8">
        <v>52</v>
      </c>
      <c r="B76" s="8">
        <v>380.49144589003333</v>
      </c>
      <c r="C76" s="8">
        <v>-6.1445890033326123E-2</v>
      </c>
    </row>
    <row r="77" spans="1:3" x14ac:dyDescent="0.25">
      <c r="A77" s="8">
        <v>53</v>
      </c>
      <c r="B77" s="8">
        <v>329.94257922592476</v>
      </c>
      <c r="C77" s="8">
        <v>9.4974207740752377</v>
      </c>
    </row>
    <row r="78" spans="1:3" x14ac:dyDescent="0.25">
      <c r="A78" s="8">
        <v>54</v>
      </c>
      <c r="B78" s="8">
        <v>286.38835890365948</v>
      </c>
      <c r="C78" s="8">
        <v>-112.39835890365947</v>
      </c>
    </row>
    <row r="79" spans="1:3" x14ac:dyDescent="0.25">
      <c r="A79" s="8">
        <v>55</v>
      </c>
      <c r="B79" s="8">
        <v>321.56865741376322</v>
      </c>
      <c r="C79" s="8">
        <v>-64.238657413763235</v>
      </c>
    </row>
    <row r="80" spans="1:3" x14ac:dyDescent="0.25">
      <c r="A80" s="8">
        <v>56</v>
      </c>
      <c r="B80" s="8">
        <v>340.59774545464336</v>
      </c>
      <c r="C80" s="8">
        <v>48.702254545356652</v>
      </c>
    </row>
    <row r="81" spans="1:3" x14ac:dyDescent="0.25">
      <c r="A81" s="8">
        <v>57</v>
      </c>
      <c r="B81" s="8">
        <v>259.29770405534634</v>
      </c>
      <c r="C81" s="8">
        <v>-110.97770405534635</v>
      </c>
    </row>
    <row r="82" spans="1:3" x14ac:dyDescent="0.25">
      <c r="A82" s="8">
        <v>58</v>
      </c>
      <c r="B82" s="8">
        <v>437.30847028948159</v>
      </c>
      <c r="C82" s="8">
        <v>12.271529710518394</v>
      </c>
    </row>
    <row r="83" spans="1:3" x14ac:dyDescent="0.25">
      <c r="A83" s="8">
        <v>59</v>
      </c>
      <c r="B83" s="8">
        <v>476.45462447759979</v>
      </c>
      <c r="C83" s="8">
        <v>203.72537552240016</v>
      </c>
    </row>
    <row r="84" spans="1:3" x14ac:dyDescent="0.25">
      <c r="A84" s="8">
        <v>60</v>
      </c>
      <c r="B84" s="8">
        <v>484.50566246464871</v>
      </c>
      <c r="C84" s="8">
        <v>13.484337535351301</v>
      </c>
    </row>
    <row r="85" spans="1:3" x14ac:dyDescent="0.25">
      <c r="A85" s="8">
        <v>61</v>
      </c>
      <c r="B85" s="8">
        <v>170.63801720755697</v>
      </c>
      <c r="C85" s="8">
        <v>49.411982792443041</v>
      </c>
    </row>
    <row r="86" spans="1:3" x14ac:dyDescent="0.25">
      <c r="A86" s="8">
        <v>62</v>
      </c>
      <c r="B86" s="8">
        <v>326.71725058159268</v>
      </c>
      <c r="C86" s="8">
        <v>-32.597250581592675</v>
      </c>
    </row>
    <row r="87" spans="1:3" x14ac:dyDescent="0.25">
      <c r="A87" s="8">
        <v>63</v>
      </c>
      <c r="B87" s="8">
        <v>351.92324658115018</v>
      </c>
      <c r="C87" s="8">
        <v>-150.81324658115017</v>
      </c>
    </row>
    <row r="88" spans="1:3" x14ac:dyDescent="0.25">
      <c r="A88" s="8">
        <v>64</v>
      </c>
      <c r="B88" s="8">
        <v>385.11359803865724</v>
      </c>
      <c r="C88" s="8">
        <v>-123.84359803865726</v>
      </c>
    </row>
    <row r="89" spans="1:3" x14ac:dyDescent="0.25">
      <c r="A89" s="8">
        <v>65</v>
      </c>
      <c r="B89" s="8">
        <v>362.16076960129914</v>
      </c>
      <c r="C89" s="8">
        <v>-54.340769601299144</v>
      </c>
    </row>
    <row r="90" spans="1:3" x14ac:dyDescent="0.25">
      <c r="A90" s="8">
        <v>66</v>
      </c>
      <c r="B90" s="8">
        <v>306.61773246832809</v>
      </c>
      <c r="C90" s="8">
        <v>26.432267531671926</v>
      </c>
    </row>
    <row r="91" spans="1:3" x14ac:dyDescent="0.25">
      <c r="A91" s="8">
        <v>67</v>
      </c>
      <c r="B91" s="8">
        <v>480.30817273818383</v>
      </c>
      <c r="C91" s="8">
        <v>-24.3381727381838</v>
      </c>
    </row>
    <row r="92" spans="1:3" x14ac:dyDescent="0.25">
      <c r="A92" s="8">
        <v>68</v>
      </c>
      <c r="B92" s="8">
        <v>357.09289738974786</v>
      </c>
      <c r="C92" s="8">
        <v>-114.78289738974786</v>
      </c>
    </row>
    <row r="93" spans="1:3" x14ac:dyDescent="0.25">
      <c r="A93" s="8">
        <v>69</v>
      </c>
      <c r="B93" s="8">
        <v>281.47841899786982</v>
      </c>
      <c r="C93" s="8">
        <v>62.581581002130179</v>
      </c>
    </row>
    <row r="94" spans="1:3" x14ac:dyDescent="0.25">
      <c r="A94" s="8">
        <v>70</v>
      </c>
      <c r="B94" s="8">
        <v>212.6374817197688</v>
      </c>
      <c r="C94" s="8">
        <v>-68.077481719768798</v>
      </c>
    </row>
    <row r="95" spans="1:3" x14ac:dyDescent="0.25">
      <c r="A95" s="8">
        <v>71</v>
      </c>
      <c r="B95" s="8">
        <v>343.38437324963763</v>
      </c>
      <c r="C95" s="8">
        <v>98.155626750362387</v>
      </c>
    </row>
    <row r="96" spans="1:3" x14ac:dyDescent="0.25">
      <c r="A96" s="8">
        <v>72</v>
      </c>
      <c r="B96" s="8">
        <v>188.45980051105923</v>
      </c>
      <c r="C96" s="8">
        <v>-73.759800511059225</v>
      </c>
    </row>
    <row r="97" spans="1:3" x14ac:dyDescent="0.25">
      <c r="A97" s="8">
        <v>73</v>
      </c>
      <c r="B97" s="8">
        <v>281.35207315326056</v>
      </c>
      <c r="C97" s="8">
        <v>-23.932073153260546</v>
      </c>
    </row>
    <row r="98" spans="1:3" x14ac:dyDescent="0.25">
      <c r="A98" s="8">
        <v>74</v>
      </c>
      <c r="B98" s="8">
        <v>534.79832783274401</v>
      </c>
      <c r="C98" s="8">
        <v>-229.47832783274401</v>
      </c>
    </row>
    <row r="99" spans="1:3" x14ac:dyDescent="0.25">
      <c r="A99" s="8">
        <v>75</v>
      </c>
      <c r="B99" s="8">
        <v>425.53022988645807</v>
      </c>
      <c r="C99" s="8">
        <v>-167.29022988645806</v>
      </c>
    </row>
    <row r="100" spans="1:3" x14ac:dyDescent="0.25">
      <c r="A100" s="8">
        <v>76</v>
      </c>
      <c r="B100" s="8">
        <v>441.70249799644984</v>
      </c>
      <c r="C100" s="8">
        <v>-0.2324979964498084</v>
      </c>
    </row>
    <row r="101" spans="1:3" x14ac:dyDescent="0.25">
      <c r="A101" s="8">
        <v>77</v>
      </c>
      <c r="B101" s="8">
        <v>180.84395376655357</v>
      </c>
      <c r="C101" s="8">
        <v>-8.5839537665535772</v>
      </c>
    </row>
    <row r="102" spans="1:3" x14ac:dyDescent="0.25">
      <c r="A102" s="8">
        <v>78</v>
      </c>
      <c r="B102" s="8">
        <v>389.05839607590354</v>
      </c>
      <c r="C102" s="8">
        <v>111.04160392409648</v>
      </c>
    </row>
    <row r="103" spans="1:3" x14ac:dyDescent="0.25">
      <c r="A103" s="8">
        <v>79</v>
      </c>
      <c r="B103" s="8">
        <v>452.27694326889031</v>
      </c>
      <c r="C103" s="8">
        <v>128.88305673110966</v>
      </c>
    </row>
    <row r="104" spans="1:3" x14ac:dyDescent="0.25">
      <c r="A104" s="8">
        <v>80</v>
      </c>
      <c r="B104" s="8">
        <v>237.57323799613425</v>
      </c>
      <c r="C104" s="8">
        <v>34.306762003865742</v>
      </c>
    </row>
    <row r="105" spans="1:3" x14ac:dyDescent="0.25">
      <c r="A105" s="8">
        <v>81</v>
      </c>
      <c r="B105" s="8">
        <v>400.41197405676809</v>
      </c>
      <c r="C105" s="8">
        <v>-0.12197405676806738</v>
      </c>
    </row>
    <row r="106" spans="1:3" x14ac:dyDescent="0.25">
      <c r="A106" s="8">
        <v>82</v>
      </c>
      <c r="B106" s="8">
        <v>276.3087681892722</v>
      </c>
      <c r="C106" s="8">
        <v>-98.53876818927219</v>
      </c>
    </row>
    <row r="107" spans="1:3" x14ac:dyDescent="0.25">
      <c r="A107" s="8">
        <v>83</v>
      </c>
      <c r="B107" s="8">
        <v>374.78833484864083</v>
      </c>
      <c r="C107" s="8">
        <v>32.071665151359184</v>
      </c>
    </row>
    <row r="108" spans="1:3" x14ac:dyDescent="0.25">
      <c r="A108" s="8">
        <v>84</v>
      </c>
      <c r="B108" s="8">
        <v>409.25618317941985</v>
      </c>
      <c r="C108" s="8">
        <v>116.74381682058015</v>
      </c>
    </row>
    <row r="109" spans="1:3" x14ac:dyDescent="0.25">
      <c r="A109" s="8">
        <v>85</v>
      </c>
      <c r="B109" s="8">
        <v>467.85959743737192</v>
      </c>
      <c r="C109" s="8">
        <v>-133.88959743737189</v>
      </c>
    </row>
    <row r="110" spans="1:3" x14ac:dyDescent="0.25">
      <c r="A110" s="8">
        <v>86</v>
      </c>
      <c r="B110" s="8">
        <v>305.65610020657942</v>
      </c>
      <c r="C110" s="8">
        <v>0.14389979342058723</v>
      </c>
    </row>
    <row r="111" spans="1:3" x14ac:dyDescent="0.25">
      <c r="A111" s="8">
        <v>87</v>
      </c>
      <c r="B111" s="8">
        <v>505.80195649490707</v>
      </c>
      <c r="C111" s="8">
        <v>143.98804350509289</v>
      </c>
    </row>
    <row r="112" spans="1:3" x14ac:dyDescent="0.25">
      <c r="A112" s="8">
        <v>88</v>
      </c>
      <c r="B112" s="8">
        <v>404.14619568633213</v>
      </c>
      <c r="C112" s="8">
        <v>37.383804313667838</v>
      </c>
    </row>
    <row r="113" spans="1:3" x14ac:dyDescent="0.25">
      <c r="A113" s="8">
        <v>89</v>
      </c>
      <c r="B113" s="8">
        <v>442.80802413678134</v>
      </c>
      <c r="C113" s="8">
        <v>37.701975863218649</v>
      </c>
    </row>
    <row r="114" spans="1:3" x14ac:dyDescent="0.25">
      <c r="A114" s="8">
        <v>90</v>
      </c>
      <c r="B114" s="8">
        <v>385.62249102388921</v>
      </c>
      <c r="C114" s="8">
        <v>-38.632491023889202</v>
      </c>
    </row>
    <row r="115" spans="1:3" x14ac:dyDescent="0.25">
      <c r="A115" s="8">
        <v>91</v>
      </c>
      <c r="B115" s="8">
        <v>254.42636982429846</v>
      </c>
      <c r="C115" s="8">
        <v>-25.196369824298472</v>
      </c>
    </row>
    <row r="116" spans="1:3" x14ac:dyDescent="0.25">
      <c r="A116" s="8">
        <v>92</v>
      </c>
      <c r="B116" s="8">
        <v>306.25624296847366</v>
      </c>
      <c r="C116" s="8">
        <v>28.583757031526318</v>
      </c>
    </row>
    <row r="117" spans="1:3" x14ac:dyDescent="0.25">
      <c r="A117" s="8">
        <v>93</v>
      </c>
      <c r="B117" s="8">
        <v>405.7641244186903</v>
      </c>
      <c r="C117" s="8">
        <v>-173.97412441869031</v>
      </c>
    </row>
    <row r="118" spans="1:3" x14ac:dyDescent="0.25">
      <c r="A118" s="8">
        <v>94</v>
      </c>
      <c r="B118" s="8">
        <v>338.15505912552999</v>
      </c>
      <c r="C118" s="8">
        <v>-9.6150591255299673</v>
      </c>
    </row>
    <row r="119" spans="1:3" x14ac:dyDescent="0.25">
      <c r="A119" s="8">
        <v>95</v>
      </c>
      <c r="B119" s="8">
        <v>321.02115875378956</v>
      </c>
      <c r="C119" s="8">
        <v>45.968841246210445</v>
      </c>
    </row>
    <row r="120" spans="1:3" x14ac:dyDescent="0.25">
      <c r="A120" s="8">
        <v>96</v>
      </c>
      <c r="B120" s="8">
        <v>410.68810275165873</v>
      </c>
      <c r="C120" s="8">
        <v>-61.728102751658753</v>
      </c>
    </row>
    <row r="121" spans="1:3" x14ac:dyDescent="0.25">
      <c r="A121" s="8">
        <v>97</v>
      </c>
      <c r="B121" s="8">
        <v>422.21716107225831</v>
      </c>
      <c r="C121" s="8">
        <v>120.4028389277417</v>
      </c>
    </row>
    <row r="122" spans="1:3" x14ac:dyDescent="0.25">
      <c r="A122" s="8">
        <v>98</v>
      </c>
      <c r="B122" s="8">
        <v>289.24166922775305</v>
      </c>
      <c r="C122" s="8">
        <v>8.4483307722469476</v>
      </c>
    </row>
    <row r="123" spans="1:3" x14ac:dyDescent="0.25">
      <c r="A123" s="8">
        <v>99</v>
      </c>
      <c r="B123" s="8">
        <v>315.65496996468852</v>
      </c>
      <c r="C123" s="8">
        <v>135.4450300353115</v>
      </c>
    </row>
    <row r="124" spans="1:3" x14ac:dyDescent="0.25">
      <c r="A124" s="8">
        <v>100</v>
      </c>
      <c r="B124" s="8">
        <v>204.67418390258752</v>
      </c>
      <c r="C124" s="8">
        <v>6.2758160974124735</v>
      </c>
    </row>
    <row r="125" spans="1:3" x14ac:dyDescent="0.25">
      <c r="A125" s="8">
        <v>101</v>
      </c>
      <c r="B125" s="8">
        <v>346.53950975807572</v>
      </c>
      <c r="C125" s="8">
        <v>99.050490241924251</v>
      </c>
    </row>
    <row r="126" spans="1:3" x14ac:dyDescent="0.25">
      <c r="A126" s="8">
        <v>102</v>
      </c>
      <c r="B126" s="8">
        <v>354.92746999741604</v>
      </c>
      <c r="C126" s="8">
        <v>-152.10746999741605</v>
      </c>
    </row>
    <row r="127" spans="1:3" x14ac:dyDescent="0.25">
      <c r="A127" s="8">
        <v>103</v>
      </c>
      <c r="B127" s="8">
        <v>323.76216166045265</v>
      </c>
      <c r="C127" s="8">
        <v>-92.442161660452655</v>
      </c>
    </row>
    <row r="128" spans="1:3" x14ac:dyDescent="0.25">
      <c r="A128" s="8">
        <v>104</v>
      </c>
      <c r="B128" s="8">
        <v>450.54670711910165</v>
      </c>
      <c r="C128" s="8">
        <v>-0.25670711910163391</v>
      </c>
    </row>
    <row r="129" spans="1:3" x14ac:dyDescent="0.25">
      <c r="A129" s="8">
        <v>105</v>
      </c>
      <c r="B129" s="8">
        <v>336.51256314560896</v>
      </c>
      <c r="C129" s="8">
        <v>-28.792563145608938</v>
      </c>
    </row>
    <row r="130" spans="1:3" x14ac:dyDescent="0.25">
      <c r="A130" s="8">
        <v>106</v>
      </c>
      <c r="B130" s="8">
        <v>378.45938355590027</v>
      </c>
      <c r="C130" s="8">
        <v>-10.869383555900299</v>
      </c>
    </row>
    <row r="131" spans="1:3" x14ac:dyDescent="0.25">
      <c r="A131" s="8">
        <v>107</v>
      </c>
      <c r="B131" s="8">
        <v>674.15077522322485</v>
      </c>
      <c r="C131" s="8">
        <v>95.309224776775181</v>
      </c>
    </row>
    <row r="132" spans="1:3" x14ac:dyDescent="0.25">
      <c r="A132" s="8">
        <v>108</v>
      </c>
      <c r="B132" s="8">
        <v>254.77031129017936</v>
      </c>
      <c r="C132" s="8">
        <v>73.149688709820651</v>
      </c>
    </row>
    <row r="133" spans="1:3" x14ac:dyDescent="0.25">
      <c r="A133" s="8">
        <v>109</v>
      </c>
      <c r="B133" s="8">
        <v>455.93395354897092</v>
      </c>
      <c r="C133" s="8">
        <v>97.366046451029035</v>
      </c>
    </row>
    <row r="134" spans="1:3" x14ac:dyDescent="0.25">
      <c r="A134" s="8">
        <v>110</v>
      </c>
      <c r="B134" s="8">
        <v>343.02639335657784</v>
      </c>
      <c r="C134" s="8">
        <v>9.8336066434221721</v>
      </c>
    </row>
    <row r="135" spans="1:3" x14ac:dyDescent="0.25">
      <c r="A135" s="8">
        <v>111</v>
      </c>
      <c r="B135" s="8">
        <v>243.84139573147397</v>
      </c>
      <c r="C135" s="8">
        <v>70.068604268526059</v>
      </c>
    </row>
    <row r="136" spans="1:3" x14ac:dyDescent="0.25">
      <c r="A136" s="8">
        <v>112</v>
      </c>
      <c r="B136" s="8">
        <v>417.93193117592585</v>
      </c>
      <c r="C136" s="8">
        <v>-62.831931175925831</v>
      </c>
    </row>
    <row r="137" spans="1:3" x14ac:dyDescent="0.25">
      <c r="A137" s="8">
        <v>113</v>
      </c>
      <c r="B137" s="8">
        <v>269.61945763856812</v>
      </c>
      <c r="C137" s="8">
        <v>-76.859457638568131</v>
      </c>
    </row>
    <row r="138" spans="1:3" x14ac:dyDescent="0.25">
      <c r="A138" s="8">
        <v>114</v>
      </c>
      <c r="B138" s="8">
        <v>231.0383501443971</v>
      </c>
      <c r="C138" s="8">
        <v>33.401649855602898</v>
      </c>
    </row>
    <row r="139" spans="1:3" x14ac:dyDescent="0.25">
      <c r="A139" s="8">
        <v>115</v>
      </c>
      <c r="B139" s="8">
        <v>240.77399939290348</v>
      </c>
      <c r="C139" s="8">
        <v>-68.563999392903469</v>
      </c>
    </row>
    <row r="140" spans="1:3" x14ac:dyDescent="0.25">
      <c r="A140" s="8">
        <v>116</v>
      </c>
      <c r="B140" s="8">
        <v>437.40673927973324</v>
      </c>
      <c r="C140" s="8">
        <v>37.25326072026678</v>
      </c>
    </row>
    <row r="141" spans="1:3" x14ac:dyDescent="0.25">
      <c r="A141" s="8">
        <v>117</v>
      </c>
      <c r="B141" s="8">
        <v>354.97309488574723</v>
      </c>
      <c r="C141" s="8">
        <v>78.606905114252754</v>
      </c>
    </row>
    <row r="142" spans="1:3" x14ac:dyDescent="0.25">
      <c r="A142" s="8">
        <v>118</v>
      </c>
      <c r="B142" s="8">
        <v>353.69559801247527</v>
      </c>
      <c r="C142" s="8">
        <v>-10.09559801247525</v>
      </c>
    </row>
    <row r="143" spans="1:3" x14ac:dyDescent="0.25">
      <c r="A143" s="8">
        <v>119</v>
      </c>
      <c r="B143" s="8">
        <v>334.99290340350251</v>
      </c>
      <c r="C143" s="8">
        <v>-16.692903403502498</v>
      </c>
    </row>
    <row r="144" spans="1:3" x14ac:dyDescent="0.25">
      <c r="A144" s="8">
        <v>120</v>
      </c>
      <c r="B144" s="8">
        <v>377.32929016800585</v>
      </c>
      <c r="C144" s="8">
        <v>-18.91929016800583</v>
      </c>
    </row>
    <row r="145" spans="1:3" x14ac:dyDescent="0.25">
      <c r="A145" s="8">
        <v>121</v>
      </c>
      <c r="B145" s="8">
        <v>407.19253438413443</v>
      </c>
      <c r="C145" s="8">
        <v>174.30746561586557</v>
      </c>
    </row>
    <row r="146" spans="1:3" x14ac:dyDescent="0.25">
      <c r="A146" s="8">
        <v>122</v>
      </c>
      <c r="B146" s="8">
        <v>355.0924215167671</v>
      </c>
      <c r="C146" s="8">
        <v>55.807578483232874</v>
      </c>
    </row>
    <row r="147" spans="1:3" x14ac:dyDescent="0.25">
      <c r="A147" s="8">
        <v>123</v>
      </c>
      <c r="B147" s="8">
        <v>251.02556084023115</v>
      </c>
      <c r="C147" s="8">
        <v>-71.51556084023116</v>
      </c>
    </row>
    <row r="148" spans="1:3" x14ac:dyDescent="0.25">
      <c r="A148" s="8">
        <v>124</v>
      </c>
      <c r="B148" s="8">
        <v>447.49685881450466</v>
      </c>
      <c r="C148" s="8">
        <v>63.643141185495324</v>
      </c>
    </row>
    <row r="149" spans="1:3" x14ac:dyDescent="0.25">
      <c r="A149" s="8">
        <v>125</v>
      </c>
      <c r="B149" s="8">
        <v>247.05619555542199</v>
      </c>
      <c r="C149" s="8">
        <v>-96.876195555421987</v>
      </c>
    </row>
    <row r="150" spans="1:3" x14ac:dyDescent="0.25">
      <c r="A150" s="8">
        <v>126</v>
      </c>
      <c r="B150" s="8">
        <v>494.08337940739341</v>
      </c>
      <c r="C150" s="8">
        <v>-141.43337940739343</v>
      </c>
    </row>
    <row r="151" spans="1:3" x14ac:dyDescent="0.25">
      <c r="A151" s="8">
        <v>127</v>
      </c>
      <c r="B151" s="8">
        <v>472.93448886251264</v>
      </c>
      <c r="C151" s="8">
        <v>-0.31448886251263275</v>
      </c>
    </row>
    <row r="152" spans="1:3" x14ac:dyDescent="0.25">
      <c r="A152" s="8">
        <v>128</v>
      </c>
      <c r="B152" s="8">
        <v>321.61779190888905</v>
      </c>
      <c r="C152" s="8">
        <v>-126.28779190888903</v>
      </c>
    </row>
    <row r="153" spans="1:3" x14ac:dyDescent="0.25">
      <c r="A153" s="8">
        <v>129</v>
      </c>
      <c r="B153" s="8">
        <v>89.748599803240225</v>
      </c>
      <c r="C153" s="8">
        <v>-25.11859980324023</v>
      </c>
    </row>
    <row r="154" spans="1:3" x14ac:dyDescent="0.25">
      <c r="A154" s="8">
        <v>130</v>
      </c>
      <c r="B154" s="8">
        <v>424.90551987700093</v>
      </c>
      <c r="C154" s="8">
        <v>36.214480122999078</v>
      </c>
    </row>
    <row r="155" spans="1:3" x14ac:dyDescent="0.25">
      <c r="A155" s="8">
        <v>131</v>
      </c>
      <c r="B155" s="8">
        <v>402.72480493447739</v>
      </c>
      <c r="C155" s="8">
        <v>34.385195065522623</v>
      </c>
    </row>
    <row r="156" spans="1:3" x14ac:dyDescent="0.25">
      <c r="A156" s="8">
        <v>132</v>
      </c>
      <c r="B156" s="8">
        <v>298.69304032588849</v>
      </c>
      <c r="C156" s="8">
        <v>-29.723040325888462</v>
      </c>
    </row>
    <row r="157" spans="1:3" x14ac:dyDescent="0.25">
      <c r="A157" s="8">
        <v>133</v>
      </c>
      <c r="B157" s="8">
        <v>371.40507389854702</v>
      </c>
      <c r="C157" s="8">
        <v>-106.14507389854703</v>
      </c>
    </row>
    <row r="158" spans="1:3" x14ac:dyDescent="0.25">
      <c r="A158" s="8">
        <v>134</v>
      </c>
      <c r="B158" s="8">
        <v>312.97363037353534</v>
      </c>
      <c r="C158" s="8">
        <v>-134.06363037353535</v>
      </c>
    </row>
    <row r="159" spans="1:3" x14ac:dyDescent="0.25">
      <c r="A159" s="8">
        <v>135</v>
      </c>
      <c r="B159" s="8">
        <v>291.69137477045581</v>
      </c>
      <c r="C159" s="8">
        <v>64.808625229544191</v>
      </c>
    </row>
    <row r="160" spans="1:3" x14ac:dyDescent="0.25">
      <c r="A160" s="8">
        <v>136</v>
      </c>
      <c r="B160" s="8">
        <v>286.87619424812323</v>
      </c>
      <c r="C160" s="8">
        <v>-57.226194248123221</v>
      </c>
    </row>
    <row r="161" spans="1:3" x14ac:dyDescent="0.25">
      <c r="A161" s="8">
        <v>137</v>
      </c>
      <c r="B161" s="8">
        <v>178.6223726655065</v>
      </c>
      <c r="C161" s="8">
        <v>-57.082372665506497</v>
      </c>
    </row>
    <row r="162" spans="1:3" x14ac:dyDescent="0.25">
      <c r="A162" s="8">
        <v>138</v>
      </c>
      <c r="B162" s="8">
        <v>281.90659102682361</v>
      </c>
      <c r="C162" s="8">
        <v>-13.906591026823605</v>
      </c>
    </row>
    <row r="163" spans="1:3" x14ac:dyDescent="0.25">
      <c r="A163" s="8">
        <v>139</v>
      </c>
      <c r="B163" s="8">
        <v>501.76239907420381</v>
      </c>
      <c r="C163" s="8">
        <v>-75.602399074203788</v>
      </c>
    </row>
    <row r="164" spans="1:3" x14ac:dyDescent="0.25">
      <c r="A164" s="8">
        <v>140</v>
      </c>
      <c r="B164" s="8">
        <v>521.45480279928279</v>
      </c>
      <c r="C164" s="8">
        <v>-205.1348027992828</v>
      </c>
    </row>
    <row r="165" spans="1:3" x14ac:dyDescent="0.25">
      <c r="A165" s="8">
        <v>141</v>
      </c>
      <c r="B165" s="8">
        <v>431.145600757983</v>
      </c>
      <c r="C165" s="8">
        <v>61.354399242016996</v>
      </c>
    </row>
    <row r="166" spans="1:3" x14ac:dyDescent="0.25">
      <c r="A166" s="8">
        <v>142</v>
      </c>
      <c r="B166" s="8">
        <v>406.72224707364421</v>
      </c>
      <c r="C166" s="8">
        <v>-174.3922470736442</v>
      </c>
    </row>
    <row r="167" spans="1:3" x14ac:dyDescent="0.25">
      <c r="A167" s="8">
        <v>143</v>
      </c>
      <c r="B167" s="8">
        <v>135.27521914412867</v>
      </c>
      <c r="C167" s="8">
        <v>30.694780855871329</v>
      </c>
    </row>
    <row r="168" spans="1:3" x14ac:dyDescent="0.25">
      <c r="A168" s="8">
        <v>144</v>
      </c>
      <c r="B168" s="8">
        <v>556.84567771706884</v>
      </c>
      <c r="C168" s="8">
        <v>118.65432228293116</v>
      </c>
    </row>
    <row r="169" spans="1:3" x14ac:dyDescent="0.25">
      <c r="A169" s="8">
        <v>145</v>
      </c>
      <c r="B169" s="8">
        <v>117.17617690384486</v>
      </c>
      <c r="C169" s="8">
        <v>17.483823096155135</v>
      </c>
    </row>
    <row r="170" spans="1:3" x14ac:dyDescent="0.25">
      <c r="A170" s="8">
        <v>146</v>
      </c>
      <c r="B170" s="8">
        <v>474.14881281347988</v>
      </c>
      <c r="C170" s="8">
        <v>13.211187186520135</v>
      </c>
    </row>
    <row r="171" spans="1:3" x14ac:dyDescent="0.25">
      <c r="A171" s="8">
        <v>147</v>
      </c>
      <c r="B171" s="8">
        <v>231.57181037719195</v>
      </c>
      <c r="C171" s="8">
        <v>83.168189622808057</v>
      </c>
    </row>
    <row r="172" spans="1:3" x14ac:dyDescent="0.25">
      <c r="A172" s="8">
        <v>148</v>
      </c>
      <c r="B172" s="8">
        <v>107.61600799507364</v>
      </c>
      <c r="C172" s="8">
        <v>3.773992004926356</v>
      </c>
    </row>
    <row r="173" spans="1:3" x14ac:dyDescent="0.25">
      <c r="A173" s="8">
        <v>149</v>
      </c>
      <c r="B173" s="8">
        <v>309.49210043318988</v>
      </c>
      <c r="C173" s="8">
        <v>8.9778995668101516</v>
      </c>
    </row>
    <row r="174" spans="1:3" x14ac:dyDescent="0.25">
      <c r="A174" s="8">
        <v>150</v>
      </c>
      <c r="B174" s="8">
        <v>260.5050087927242</v>
      </c>
      <c r="C174" s="8">
        <v>41.244991207275802</v>
      </c>
    </row>
    <row r="175" spans="1:3" x14ac:dyDescent="0.25">
      <c r="A175" s="8">
        <v>151</v>
      </c>
      <c r="B175" s="8">
        <v>304.43826664881743</v>
      </c>
      <c r="C175" s="8">
        <v>108.92173335118258</v>
      </c>
    </row>
    <row r="176" spans="1:3" x14ac:dyDescent="0.25">
      <c r="A176" s="8">
        <v>152</v>
      </c>
      <c r="B176" s="8">
        <v>301.61654278587616</v>
      </c>
      <c r="C176" s="8">
        <v>-14.936542785876156</v>
      </c>
    </row>
    <row r="177" spans="1:3" x14ac:dyDescent="0.25">
      <c r="A177" s="8">
        <v>153</v>
      </c>
      <c r="B177" s="8">
        <v>410.05988313540689</v>
      </c>
      <c r="C177" s="8">
        <v>146.25011686459305</v>
      </c>
    </row>
    <row r="178" spans="1:3" x14ac:dyDescent="0.25">
      <c r="A178" s="8">
        <v>154</v>
      </c>
      <c r="B178" s="8">
        <v>369.1308486955794</v>
      </c>
      <c r="C178" s="8">
        <v>-36.940848695579405</v>
      </c>
    </row>
    <row r="179" spans="1:3" x14ac:dyDescent="0.25">
      <c r="A179" s="8">
        <v>155</v>
      </c>
      <c r="B179" s="8">
        <v>589.06035848564829</v>
      </c>
      <c r="C179" s="8">
        <v>-252.82035848564828</v>
      </c>
    </row>
    <row r="180" spans="1:3" x14ac:dyDescent="0.25">
      <c r="A180" s="8">
        <v>156</v>
      </c>
      <c r="B180" s="8">
        <v>132.30609179580983</v>
      </c>
      <c r="C180" s="8">
        <v>48.083908204190152</v>
      </c>
    </row>
    <row r="181" spans="1:3" x14ac:dyDescent="0.25">
      <c r="A181" s="8">
        <v>157</v>
      </c>
      <c r="B181" s="8">
        <v>376.77126268764806</v>
      </c>
      <c r="C181" s="8">
        <v>107.57873731235196</v>
      </c>
    </row>
    <row r="182" spans="1:3" x14ac:dyDescent="0.25">
      <c r="A182" s="8">
        <v>158</v>
      </c>
      <c r="B182" s="8">
        <v>437.97178597368048</v>
      </c>
      <c r="C182" s="8">
        <v>124.84821402631957</v>
      </c>
    </row>
    <row r="183" spans="1:3" x14ac:dyDescent="0.25">
      <c r="A183" s="8">
        <v>159</v>
      </c>
      <c r="B183" s="8">
        <v>391.51512083219569</v>
      </c>
      <c r="C183" s="8">
        <v>55.824879167804283</v>
      </c>
    </row>
    <row r="184" spans="1:3" x14ac:dyDescent="0.25">
      <c r="A184" s="8">
        <v>160</v>
      </c>
      <c r="B184" s="8">
        <v>568.49757227548298</v>
      </c>
      <c r="C184" s="8">
        <v>80.552427724516974</v>
      </c>
    </row>
    <row r="185" spans="1:3" x14ac:dyDescent="0.25">
      <c r="A185" s="8">
        <v>161</v>
      </c>
      <c r="B185" s="8">
        <v>223.86120424922927</v>
      </c>
      <c r="C185" s="8">
        <v>-18.861204249229274</v>
      </c>
    </row>
    <row r="186" spans="1:3" x14ac:dyDescent="0.25">
      <c r="A186" s="8">
        <v>162</v>
      </c>
      <c r="B186" s="8">
        <v>204.38990575221655</v>
      </c>
      <c r="C186" s="8">
        <v>58.930094247783444</v>
      </c>
    </row>
    <row r="187" spans="1:3" x14ac:dyDescent="0.25">
      <c r="A187" s="8">
        <v>163</v>
      </c>
      <c r="B187" s="8">
        <v>388.58108955182394</v>
      </c>
      <c r="C187" s="8">
        <v>55.408910448176073</v>
      </c>
    </row>
    <row r="188" spans="1:3" x14ac:dyDescent="0.25">
      <c r="A188" s="8">
        <v>164</v>
      </c>
      <c r="B188" s="8">
        <v>384.40465746612728</v>
      </c>
      <c r="C188" s="8">
        <v>10.905342533872727</v>
      </c>
    </row>
    <row r="189" spans="1:3" x14ac:dyDescent="0.25">
      <c r="A189" s="8">
        <v>165</v>
      </c>
      <c r="B189" s="8">
        <v>289.35397664518359</v>
      </c>
      <c r="C189" s="8">
        <v>45.686023354816427</v>
      </c>
    </row>
    <row r="190" spans="1:3" x14ac:dyDescent="0.25">
      <c r="A190" s="8">
        <v>166</v>
      </c>
      <c r="B190" s="8">
        <v>259.3924634388033</v>
      </c>
      <c r="C190" s="8">
        <v>74.457536561196719</v>
      </c>
    </row>
    <row r="191" spans="1:3" x14ac:dyDescent="0.25">
      <c r="A191" s="8">
        <v>167</v>
      </c>
      <c r="B191" s="8">
        <v>459.22245511560766</v>
      </c>
      <c r="C191" s="8">
        <v>71.837544884392287</v>
      </c>
    </row>
    <row r="192" spans="1:3" x14ac:dyDescent="0.25">
      <c r="A192" s="8">
        <v>168</v>
      </c>
      <c r="B192" s="8">
        <v>200.23453130728811</v>
      </c>
      <c r="C192" s="8">
        <v>31.955468692711889</v>
      </c>
    </row>
    <row r="193" spans="1:3" x14ac:dyDescent="0.25">
      <c r="A193" s="8">
        <v>169</v>
      </c>
      <c r="B193" s="8">
        <v>390.42012351224838</v>
      </c>
      <c r="C193" s="8">
        <v>-167.38012351224839</v>
      </c>
    </row>
    <row r="194" spans="1:3" x14ac:dyDescent="0.25">
      <c r="A194" s="8">
        <v>170</v>
      </c>
      <c r="B194" s="8">
        <v>295.87833567653661</v>
      </c>
      <c r="C194" s="8">
        <v>127.04166432346341</v>
      </c>
    </row>
    <row r="195" spans="1:3" x14ac:dyDescent="0.25">
      <c r="A195" s="8">
        <v>171</v>
      </c>
      <c r="B195" s="8">
        <v>360.44106227189457</v>
      </c>
      <c r="C195" s="8">
        <v>-102.99106227189458</v>
      </c>
    </row>
    <row r="196" spans="1:3" x14ac:dyDescent="0.25">
      <c r="A196" s="8">
        <v>172</v>
      </c>
      <c r="B196" s="8">
        <v>416.60529980752807</v>
      </c>
      <c r="C196" s="8">
        <v>-35.85529980752807</v>
      </c>
    </row>
    <row r="197" spans="1:3" x14ac:dyDescent="0.25">
      <c r="A197" s="8">
        <v>173</v>
      </c>
      <c r="B197" s="8">
        <v>246.19634189071971</v>
      </c>
      <c r="C197" s="8">
        <v>-20.826341890719704</v>
      </c>
    </row>
    <row r="198" spans="1:3" x14ac:dyDescent="0.25">
      <c r="A198" s="8">
        <v>174</v>
      </c>
      <c r="B198" s="8">
        <v>566.95334528581361</v>
      </c>
      <c r="C198" s="8">
        <v>15.606654714186334</v>
      </c>
    </row>
    <row r="199" spans="1:3" x14ac:dyDescent="0.25">
      <c r="A199" s="8">
        <v>175</v>
      </c>
      <c r="B199" s="8">
        <v>355.04679662843591</v>
      </c>
      <c r="C199" s="8">
        <v>-10.136796628435889</v>
      </c>
    </row>
    <row r="200" spans="1:3" x14ac:dyDescent="0.25">
      <c r="A200" s="8">
        <v>176</v>
      </c>
      <c r="B200" s="8">
        <v>289.25570765493188</v>
      </c>
      <c r="C200" s="8">
        <v>41.534292345068138</v>
      </c>
    </row>
    <row r="201" spans="1:3" x14ac:dyDescent="0.25">
      <c r="A201" s="8">
        <v>177</v>
      </c>
      <c r="B201" s="8">
        <v>357.78428992830436</v>
      </c>
      <c r="C201" s="8">
        <v>102.21571007169564</v>
      </c>
    </row>
    <row r="202" spans="1:3" x14ac:dyDescent="0.25">
      <c r="A202" s="8">
        <v>178</v>
      </c>
      <c r="B202" s="8">
        <v>384.96970416007451</v>
      </c>
      <c r="C202" s="8">
        <v>54.910295839925482</v>
      </c>
    </row>
    <row r="203" spans="1:3" x14ac:dyDescent="0.25">
      <c r="A203" s="8">
        <v>179</v>
      </c>
      <c r="B203" s="8">
        <v>248.38633653061444</v>
      </c>
      <c r="C203" s="8">
        <v>7.403663469385549</v>
      </c>
    </row>
    <row r="204" spans="1:3" x14ac:dyDescent="0.25">
      <c r="A204" s="8">
        <v>180</v>
      </c>
      <c r="B204" s="8">
        <v>174.21430653135943</v>
      </c>
      <c r="C204" s="8">
        <v>-14.474306531359417</v>
      </c>
    </row>
    <row r="205" spans="1:3" x14ac:dyDescent="0.25">
      <c r="A205" s="8">
        <v>181</v>
      </c>
      <c r="B205" s="8">
        <v>372.51060003887852</v>
      </c>
      <c r="C205" s="8">
        <v>31.879399961121464</v>
      </c>
    </row>
    <row r="206" spans="1:3" x14ac:dyDescent="0.25">
      <c r="A206" s="8">
        <v>182</v>
      </c>
      <c r="B206" s="8">
        <v>153.00926227776336</v>
      </c>
      <c r="C206" s="8">
        <v>34.560737722236638</v>
      </c>
    </row>
    <row r="207" spans="1:3" x14ac:dyDescent="0.25">
      <c r="A207" s="8">
        <v>183</v>
      </c>
      <c r="B207" s="8">
        <v>302.59572308159835</v>
      </c>
      <c r="C207" s="8">
        <v>108.27427691840165</v>
      </c>
    </row>
    <row r="208" spans="1:3" x14ac:dyDescent="0.25">
      <c r="A208" s="8">
        <v>184</v>
      </c>
      <c r="B208" s="8">
        <v>344.69345658406183</v>
      </c>
      <c r="C208" s="8">
        <v>-68.913456584061862</v>
      </c>
    </row>
    <row r="209" spans="1:3" x14ac:dyDescent="0.25">
      <c r="A209" s="8">
        <v>185</v>
      </c>
      <c r="B209" s="8">
        <v>523.17801973548194</v>
      </c>
      <c r="C209" s="8">
        <v>223.56198026451807</v>
      </c>
    </row>
    <row r="210" spans="1:3" x14ac:dyDescent="0.25">
      <c r="A210" s="8">
        <v>186</v>
      </c>
      <c r="B210" s="8">
        <v>240.98457580058562</v>
      </c>
      <c r="C210" s="8">
        <v>69.255424199414392</v>
      </c>
    </row>
    <row r="211" spans="1:3" x14ac:dyDescent="0.25">
      <c r="A211" s="8">
        <v>187</v>
      </c>
      <c r="B211" s="8">
        <v>238.46116851519412</v>
      </c>
      <c r="C211" s="8">
        <v>102.65883148480589</v>
      </c>
    </row>
    <row r="212" spans="1:3" x14ac:dyDescent="0.25">
      <c r="A212" s="8">
        <v>188</v>
      </c>
      <c r="B212" s="8">
        <v>159.95126451768607</v>
      </c>
      <c r="C212" s="8">
        <v>-68.241264517686076</v>
      </c>
    </row>
    <row r="213" spans="1:3" x14ac:dyDescent="0.25">
      <c r="A213" s="8">
        <v>189</v>
      </c>
      <c r="B213" s="8">
        <v>414.64693921608375</v>
      </c>
      <c r="C213" s="8">
        <v>-83.056939216083777</v>
      </c>
    </row>
    <row r="214" spans="1:3" x14ac:dyDescent="0.25">
      <c r="A214" s="8">
        <v>190</v>
      </c>
      <c r="B214" s="8">
        <v>266.50292680487178</v>
      </c>
      <c r="C214" s="8">
        <v>114.56707319512822</v>
      </c>
    </row>
    <row r="215" spans="1:3" x14ac:dyDescent="0.25">
      <c r="A215" s="8">
        <v>191</v>
      </c>
      <c r="B215" s="8">
        <v>262.49144623852618</v>
      </c>
      <c r="C215" s="8">
        <v>-7.2514462385261709</v>
      </c>
    </row>
    <row r="216" spans="1:3" x14ac:dyDescent="0.25">
      <c r="A216" s="8">
        <v>192</v>
      </c>
      <c r="B216" s="8">
        <v>510.35040690084224</v>
      </c>
      <c r="C216" s="8">
        <v>181.69959309915771</v>
      </c>
    </row>
    <row r="217" spans="1:3" x14ac:dyDescent="0.25">
      <c r="A217" s="8">
        <v>193</v>
      </c>
      <c r="B217" s="8">
        <v>382.75514227261687</v>
      </c>
      <c r="C217" s="8">
        <v>-38.34514227261684</v>
      </c>
    </row>
    <row r="218" spans="1:3" x14ac:dyDescent="0.25">
      <c r="A218" s="8">
        <v>194</v>
      </c>
      <c r="B218" s="8">
        <v>326.91378856209599</v>
      </c>
      <c r="C218" s="8">
        <v>70.146211437904014</v>
      </c>
    </row>
    <row r="219" spans="1:3" x14ac:dyDescent="0.25">
      <c r="A219" s="8">
        <v>195</v>
      </c>
      <c r="B219" s="8">
        <v>513.30198621518753</v>
      </c>
      <c r="C219" s="8">
        <v>72.83801378481246</v>
      </c>
    </row>
    <row r="220" spans="1:3" x14ac:dyDescent="0.25">
      <c r="A220" s="8">
        <v>196</v>
      </c>
      <c r="B220" s="8">
        <v>259.01342590497541</v>
      </c>
      <c r="C220" s="8">
        <v>74.346574095024607</v>
      </c>
    </row>
    <row r="221" spans="1:3" x14ac:dyDescent="0.25">
      <c r="A221" s="8">
        <v>197</v>
      </c>
      <c r="B221" s="8">
        <v>190.4497475636559</v>
      </c>
      <c r="C221" s="8">
        <v>55.000252436344084</v>
      </c>
    </row>
    <row r="222" spans="1:3" x14ac:dyDescent="0.25">
      <c r="A222" s="8">
        <v>198</v>
      </c>
      <c r="B222" s="8">
        <v>349.14363799974535</v>
      </c>
      <c r="C222" s="8">
        <v>29.946362000254624</v>
      </c>
    </row>
    <row r="223" spans="1:3" ht="15.75" thickBot="1" x14ac:dyDescent="0.3">
      <c r="A223" s="9">
        <v>199</v>
      </c>
      <c r="B223" s="9">
        <v>324.82557251924771</v>
      </c>
      <c r="C223" s="9">
        <v>116.12442748075227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25E59-716B-4A0D-BD03-A7C484135DE8}">
  <dimension ref="A1:H15"/>
  <sheetViews>
    <sheetView workbookViewId="0">
      <selection activeCell="B1" sqref="B1"/>
    </sheetView>
  </sheetViews>
  <sheetFormatPr defaultRowHeight="15" x14ac:dyDescent="0.25"/>
  <cols>
    <col min="1" max="1" width="18.140625" bestFit="1" customWidth="1"/>
    <col min="2" max="2" width="12.7109375" bestFit="1" customWidth="1"/>
    <col min="3" max="3" width="18.140625" bestFit="1" customWidth="1"/>
    <col min="4" max="4" width="12.7109375" bestFit="1" customWidth="1"/>
    <col min="5" max="5" width="18.140625" bestFit="1" customWidth="1"/>
    <col min="6" max="6" width="12.7109375" bestFit="1" customWidth="1"/>
    <col min="7" max="7" width="18.140625" bestFit="1" customWidth="1"/>
    <col min="8" max="8" width="12" bestFit="1" customWidth="1"/>
  </cols>
  <sheetData>
    <row r="1" spans="1:8" x14ac:dyDescent="0.25">
      <c r="A1" s="20">
        <v>4</v>
      </c>
      <c r="B1" s="20"/>
      <c r="C1" s="20">
        <v>0.2</v>
      </c>
      <c r="D1" s="20"/>
      <c r="E1" s="20">
        <v>45392</v>
      </c>
      <c r="F1" s="20"/>
      <c r="G1" s="20">
        <v>331.55</v>
      </c>
      <c r="H1" s="20"/>
    </row>
    <row r="2" spans="1:8" x14ac:dyDescent="0.25">
      <c r="A2" s="8"/>
      <c r="B2" s="8"/>
      <c r="C2" s="8"/>
      <c r="D2" s="8"/>
      <c r="E2" s="8"/>
      <c r="F2" s="8"/>
      <c r="G2" s="8"/>
      <c r="H2" s="8"/>
    </row>
    <row r="3" spans="1:8" x14ac:dyDescent="0.25">
      <c r="A3" s="8" t="s">
        <v>115</v>
      </c>
      <c r="B3" s="8">
        <v>10.025125628140703</v>
      </c>
      <c r="C3" s="8" t="s">
        <v>115</v>
      </c>
      <c r="D3" s="8">
        <v>9.6733668341708504E-2</v>
      </c>
      <c r="E3" s="8" t="s">
        <v>115</v>
      </c>
      <c r="F3" s="8">
        <v>45565.010050251258</v>
      </c>
      <c r="G3" s="8" t="s">
        <v>115</v>
      </c>
      <c r="H3" s="8">
        <v>341.48472361809047</v>
      </c>
    </row>
    <row r="4" spans="1:8" x14ac:dyDescent="0.25">
      <c r="A4" s="8" t="s">
        <v>92</v>
      </c>
      <c r="B4" s="8">
        <v>0.40014445807360788</v>
      </c>
      <c r="C4" s="8" t="s">
        <v>92</v>
      </c>
      <c r="D4" s="8">
        <v>5.1137432614679242E-3</v>
      </c>
      <c r="E4" s="8" t="s">
        <v>92</v>
      </c>
      <c r="F4" s="8">
        <v>7.9110614747750239</v>
      </c>
      <c r="G4" s="8" t="s">
        <v>92</v>
      </c>
      <c r="H4" s="8">
        <v>9.6483541158221815</v>
      </c>
    </row>
    <row r="5" spans="1:8" x14ac:dyDescent="0.25">
      <c r="A5" s="8" t="s">
        <v>116</v>
      </c>
      <c r="B5" s="8">
        <v>10</v>
      </c>
      <c r="C5" s="8" t="s">
        <v>116</v>
      </c>
      <c r="D5" s="8">
        <v>0.1</v>
      </c>
      <c r="E5" s="8" t="s">
        <v>116</v>
      </c>
      <c r="F5" s="8">
        <v>45565</v>
      </c>
      <c r="G5" s="8" t="s">
        <v>116</v>
      </c>
      <c r="H5" s="8">
        <v>332.32</v>
      </c>
    </row>
    <row r="6" spans="1:8" x14ac:dyDescent="0.25">
      <c r="A6" s="8" t="s">
        <v>117</v>
      </c>
      <c r="B6" s="8">
        <v>8</v>
      </c>
      <c r="C6" s="8" t="s">
        <v>117</v>
      </c>
      <c r="D6" s="8">
        <v>0</v>
      </c>
      <c r="E6" s="8" t="s">
        <v>117</v>
      </c>
      <c r="F6" s="8">
        <v>45429</v>
      </c>
      <c r="G6" s="8" t="s">
        <v>117</v>
      </c>
      <c r="H6" s="8" t="e">
        <v>#N/A</v>
      </c>
    </row>
    <row r="7" spans="1:8" x14ac:dyDescent="0.25">
      <c r="A7" s="8" t="s">
        <v>118</v>
      </c>
      <c r="B7" s="8">
        <v>5.6447322237708715</v>
      </c>
      <c r="C7" s="8" t="s">
        <v>118</v>
      </c>
      <c r="D7" s="8">
        <v>7.2138226057323535E-2</v>
      </c>
      <c r="E7" s="8" t="s">
        <v>118</v>
      </c>
      <c r="F7" s="8">
        <v>111.59925554355749</v>
      </c>
      <c r="G7" s="8" t="s">
        <v>118</v>
      </c>
      <c r="H7" s="8">
        <v>136.10678415022619</v>
      </c>
    </row>
    <row r="8" spans="1:8" x14ac:dyDescent="0.25">
      <c r="A8" s="8" t="s">
        <v>119</v>
      </c>
      <c r="B8" s="8">
        <v>31.863001878077252</v>
      </c>
      <c r="C8" s="8" t="s">
        <v>119</v>
      </c>
      <c r="D8" s="8">
        <v>5.2039236586975124E-3</v>
      </c>
      <c r="E8" s="8" t="s">
        <v>119</v>
      </c>
      <c r="F8" s="8">
        <v>12454.393837876249</v>
      </c>
      <c r="G8" s="8" t="s">
        <v>119</v>
      </c>
      <c r="H8" s="8">
        <v>18525.056691716265</v>
      </c>
    </row>
    <row r="9" spans="1:8" x14ac:dyDescent="0.25">
      <c r="A9" s="8" t="s">
        <v>120</v>
      </c>
      <c r="B9" s="8">
        <v>-1.2052157626509212</v>
      </c>
      <c r="C9" s="8" t="s">
        <v>120</v>
      </c>
      <c r="D9" s="8">
        <v>-1.3175587852575268</v>
      </c>
      <c r="E9" s="8" t="s">
        <v>120</v>
      </c>
      <c r="F9" s="8">
        <v>-1.2798355611865295</v>
      </c>
      <c r="G9" s="8" t="s">
        <v>120</v>
      </c>
      <c r="H9" s="8">
        <v>0.24746466034092496</v>
      </c>
    </row>
    <row r="10" spans="1:8" x14ac:dyDescent="0.25">
      <c r="A10" s="8" t="s">
        <v>121</v>
      </c>
      <c r="B10" s="8">
        <v>5.1156000989616236E-2</v>
      </c>
      <c r="C10" s="8" t="s">
        <v>121</v>
      </c>
      <c r="D10" s="8">
        <v>0.10503298442946726</v>
      </c>
      <c r="E10" s="8" t="s">
        <v>121</v>
      </c>
      <c r="F10" s="8">
        <v>5.6882151705986983E-2</v>
      </c>
      <c r="G10" s="8" t="s">
        <v>121</v>
      </c>
      <c r="H10" s="8">
        <v>0.57090181327812994</v>
      </c>
    </row>
    <row r="11" spans="1:8" x14ac:dyDescent="0.25">
      <c r="A11" s="8" t="s">
        <v>122</v>
      </c>
      <c r="B11" s="8">
        <v>18</v>
      </c>
      <c r="C11" s="8" t="s">
        <v>122</v>
      </c>
      <c r="D11" s="8">
        <v>0.2</v>
      </c>
      <c r="E11" s="8" t="s">
        <v>122</v>
      </c>
      <c r="F11" s="8">
        <v>361</v>
      </c>
      <c r="G11" s="8" t="s">
        <v>122</v>
      </c>
      <c r="H11" s="8">
        <v>704.83</v>
      </c>
    </row>
    <row r="12" spans="1:8" x14ac:dyDescent="0.25">
      <c r="A12" s="8" t="s">
        <v>123</v>
      </c>
      <c r="B12" s="8">
        <v>1</v>
      </c>
      <c r="C12" s="8" t="s">
        <v>123</v>
      </c>
      <c r="D12" s="8">
        <v>0</v>
      </c>
      <c r="E12" s="8" t="s">
        <v>123</v>
      </c>
      <c r="F12" s="8">
        <v>45393</v>
      </c>
      <c r="G12" s="8" t="s">
        <v>123</v>
      </c>
      <c r="H12" s="8">
        <v>64.63</v>
      </c>
    </row>
    <row r="13" spans="1:8" x14ac:dyDescent="0.25">
      <c r="A13" s="8" t="s">
        <v>124</v>
      </c>
      <c r="B13" s="8">
        <v>19</v>
      </c>
      <c r="C13" s="8" t="s">
        <v>124</v>
      </c>
      <c r="D13" s="8">
        <v>0.2</v>
      </c>
      <c r="E13" s="8" t="s">
        <v>124</v>
      </c>
      <c r="F13" s="8">
        <v>45754</v>
      </c>
      <c r="G13" s="8" t="s">
        <v>124</v>
      </c>
      <c r="H13" s="8">
        <v>769.46</v>
      </c>
    </row>
    <row r="14" spans="1:8" x14ac:dyDescent="0.25">
      <c r="A14" s="8" t="s">
        <v>125</v>
      </c>
      <c r="B14" s="8">
        <v>1995</v>
      </c>
      <c r="C14" s="8" t="s">
        <v>125</v>
      </c>
      <c r="D14" s="8">
        <v>19.249999999999993</v>
      </c>
      <c r="E14" s="8" t="s">
        <v>125</v>
      </c>
      <c r="F14" s="8">
        <v>9067437</v>
      </c>
      <c r="G14" s="8" t="s">
        <v>125</v>
      </c>
      <c r="H14" s="8">
        <v>67955.460000000006</v>
      </c>
    </row>
    <row r="15" spans="1:8" ht="15.75" thickBot="1" x14ac:dyDescent="0.3">
      <c r="A15" s="9" t="s">
        <v>126</v>
      </c>
      <c r="B15" s="9">
        <v>199</v>
      </c>
      <c r="C15" s="9" t="s">
        <v>126</v>
      </c>
      <c r="D15" s="9">
        <v>199</v>
      </c>
      <c r="E15" s="9" t="s">
        <v>126</v>
      </c>
      <c r="F15" s="9">
        <v>199</v>
      </c>
      <c r="G15" s="9" t="s">
        <v>126</v>
      </c>
      <c r="H15" s="9">
        <v>199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FDB0D-24B2-4169-A6F1-634211EFB5E0}">
  <dimension ref="A3:A6"/>
  <sheetViews>
    <sheetView workbookViewId="0">
      <selection activeCell="A4" sqref="A4"/>
      <pivotSelection pane="bottomRight" showHeader="1" extendable="1" axis="axisRow" max="3" activeRow="3" previousRow="3" click="1" r:id="rId1">
        <pivotArea dataOnly="0" fieldPosition="0">
          <references count="1">
            <reference field="2" count="1">
              <x v="1"/>
            </reference>
          </references>
        </pivotArea>
      </pivotSelection>
    </sheetView>
  </sheetViews>
  <sheetFormatPr defaultRowHeight="15" x14ac:dyDescent="0.25"/>
  <cols>
    <col min="1" max="1" width="13.140625" bestFit="1" customWidth="1"/>
  </cols>
  <sheetData>
    <row r="3" spans="1:1" x14ac:dyDescent="0.25">
      <c r="A3" s="22" t="s">
        <v>127</v>
      </c>
    </row>
    <row r="4" spans="1:1" x14ac:dyDescent="0.25">
      <c r="A4" s="23" t="s">
        <v>129</v>
      </c>
    </row>
    <row r="5" spans="1:1" x14ac:dyDescent="0.25">
      <c r="A5" s="23" t="s">
        <v>130</v>
      </c>
    </row>
    <row r="6" spans="1:1" x14ac:dyDescent="0.25">
      <c r="A6" s="23" t="s">
        <v>128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05C5-2588-44EE-A563-CAB863AEC316}">
  <dimension ref="A3:C10"/>
  <sheetViews>
    <sheetView tabSelected="1" workbookViewId="0">
      <selection activeCell="G13" sqref="G13"/>
    </sheetView>
  </sheetViews>
  <sheetFormatPr defaultRowHeight="15" x14ac:dyDescent="0.25"/>
  <cols>
    <col min="1" max="1" width="13.140625" bestFit="1" customWidth="1"/>
    <col min="2" max="2" width="16.28515625" bestFit="1" customWidth="1"/>
    <col min="3" max="3" width="11.28515625" bestFit="1" customWidth="1"/>
    <col min="4" max="4" width="10.5703125" bestFit="1" customWidth="1"/>
    <col min="5" max="5" width="9.28515625" bestFit="1" customWidth="1"/>
    <col min="6" max="6" width="14.5703125" bestFit="1" customWidth="1"/>
    <col min="7" max="7" width="11.28515625" bestFit="1" customWidth="1"/>
  </cols>
  <sheetData>
    <row r="3" spans="1:3" x14ac:dyDescent="0.25">
      <c r="A3" s="22" t="s">
        <v>137</v>
      </c>
      <c r="B3" s="22" t="s">
        <v>136</v>
      </c>
    </row>
    <row r="4" spans="1:3" x14ac:dyDescent="0.25">
      <c r="A4" s="22" t="s">
        <v>127</v>
      </c>
      <c r="B4" t="s">
        <v>15</v>
      </c>
      <c r="C4" t="s">
        <v>128</v>
      </c>
    </row>
    <row r="5" spans="1:3" x14ac:dyDescent="0.25">
      <c r="A5" s="23" t="s">
        <v>34</v>
      </c>
      <c r="B5" s="27">
        <v>12200.26</v>
      </c>
      <c r="C5" s="27">
        <v>12200.26</v>
      </c>
    </row>
    <row r="6" spans="1:3" x14ac:dyDescent="0.25">
      <c r="A6" s="23" t="s">
        <v>18</v>
      </c>
      <c r="B6" s="27">
        <v>2401.4499999999998</v>
      </c>
      <c r="C6" s="27">
        <v>2401.4499999999998</v>
      </c>
    </row>
    <row r="7" spans="1:3" x14ac:dyDescent="0.25">
      <c r="A7" s="23" t="s">
        <v>24</v>
      </c>
      <c r="B7" s="27">
        <v>8422.82</v>
      </c>
      <c r="C7" s="27">
        <v>8422.82</v>
      </c>
    </row>
    <row r="8" spans="1:3" x14ac:dyDescent="0.25">
      <c r="A8" s="23" t="s">
        <v>20</v>
      </c>
      <c r="B8" s="27">
        <v>8393.630000000001</v>
      </c>
      <c r="C8" s="27">
        <v>8393.630000000001</v>
      </c>
    </row>
    <row r="9" spans="1:3" x14ac:dyDescent="0.25">
      <c r="A9" s="23" t="s">
        <v>11</v>
      </c>
      <c r="B9" s="27">
        <v>10509.43</v>
      </c>
      <c r="C9" s="27">
        <v>10509.43</v>
      </c>
    </row>
    <row r="10" spans="1:3" x14ac:dyDescent="0.25">
      <c r="A10" s="23" t="s">
        <v>128</v>
      </c>
      <c r="B10" s="27">
        <v>41927.589999999997</v>
      </c>
      <c r="C10" s="27">
        <v>41927.589999999997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F0BB0-A140-4C38-8551-6747974599CC}">
  <dimension ref="A1:C2"/>
  <sheetViews>
    <sheetView showGridLines="0" workbookViewId="0">
      <selection activeCell="N17" sqref="N17"/>
    </sheetView>
  </sheetViews>
  <sheetFormatPr defaultRowHeight="15" x14ac:dyDescent="0.25"/>
  <cols>
    <col min="1" max="1" width="13.85546875" bestFit="1" customWidth="1"/>
    <col min="2" max="2" width="12.42578125" customWidth="1"/>
    <col min="3" max="3" width="20.28515625" bestFit="1" customWidth="1"/>
  </cols>
  <sheetData>
    <row r="1" spans="1:3" x14ac:dyDescent="0.25">
      <c r="A1" t="s">
        <v>138</v>
      </c>
      <c r="B1" t="s">
        <v>139</v>
      </c>
      <c r="C1" s="30" t="s">
        <v>140</v>
      </c>
    </row>
    <row r="2" spans="1:3" ht="24" customHeight="1" x14ac:dyDescent="0.25">
      <c r="A2" s="31">
        <f>SUM(dataset!E2:E201)</f>
        <v>195217.75999999992</v>
      </c>
      <c r="B2" s="33">
        <f>SUM(dataset!I2:I201)</f>
        <v>68287.010000000009</v>
      </c>
      <c r="C2" s="32">
        <f>AVERAGE(dataset!E2:E201)</f>
        <v>976.08879999999965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5B1F3-5CB8-4D87-A469-1BB4A4BFEA60}">
  <sheetPr filterMode="1"/>
  <dimension ref="A1:O201"/>
  <sheetViews>
    <sheetView workbookViewId="0">
      <selection activeCell="E109" sqref="E109"/>
    </sheetView>
  </sheetViews>
  <sheetFormatPr defaultRowHeight="15" x14ac:dyDescent="0.25"/>
  <cols>
    <col min="2" max="2" width="17.85546875" customWidth="1"/>
    <col min="8" max="8" width="10.42578125" bestFit="1" customWidth="1"/>
    <col min="10" max="10" width="15.5703125" bestFit="1" customWidth="1"/>
    <col min="12" max="12" width="13.85546875" customWidth="1"/>
  </cols>
  <sheetData>
    <row r="1" spans="1:15" ht="30.75" thickBot="1" x14ac:dyDescent="0.3">
      <c r="A1" s="4" t="s">
        <v>0</v>
      </c>
      <c r="B1" s="4" t="s">
        <v>1</v>
      </c>
      <c r="C1" s="4" t="s">
        <v>2</v>
      </c>
      <c r="D1" s="4" t="s">
        <v>3</v>
      </c>
      <c r="E1" s="4" t="s">
        <v>4</v>
      </c>
      <c r="F1" s="4" t="s">
        <v>5</v>
      </c>
      <c r="G1" s="4" t="s">
        <v>6</v>
      </c>
      <c r="H1" s="4" t="s">
        <v>7</v>
      </c>
      <c r="I1" s="4" t="s">
        <v>8</v>
      </c>
      <c r="J1" s="7" t="s">
        <v>131</v>
      </c>
      <c r="K1" s="25"/>
      <c r="L1" s="25"/>
      <c r="M1" s="25"/>
    </row>
    <row r="2" spans="1:15" ht="15.75" hidden="1" thickBot="1" x14ac:dyDescent="0.3">
      <c r="A2" s="1" t="s">
        <v>9</v>
      </c>
      <c r="B2" s="1" t="s">
        <v>10</v>
      </c>
      <c r="C2" s="1" t="s">
        <v>11</v>
      </c>
      <c r="D2" s="1" t="s">
        <v>12</v>
      </c>
      <c r="E2" s="2">
        <v>1036.0899999999999</v>
      </c>
      <c r="F2" s="2">
        <v>4</v>
      </c>
      <c r="G2" s="2">
        <v>0.2</v>
      </c>
      <c r="H2" s="3">
        <v>45392</v>
      </c>
      <c r="I2" s="2">
        <v>331.55</v>
      </c>
      <c r="J2" s="24">
        <f ca="1">NOW()</f>
        <v>46309.874604861114</v>
      </c>
      <c r="K2" s="5"/>
      <c r="L2" s="1"/>
    </row>
    <row r="3" spans="1:15" ht="15.75" hidden="1" thickBot="1" x14ac:dyDescent="0.3">
      <c r="A3" s="1" t="s">
        <v>13</v>
      </c>
      <c r="B3" s="1" t="s">
        <v>14</v>
      </c>
      <c r="C3" s="1" t="s">
        <v>11</v>
      </c>
      <c r="D3" s="1" t="s">
        <v>15</v>
      </c>
      <c r="E3" s="2">
        <v>1101.28</v>
      </c>
      <c r="F3" s="2">
        <v>3</v>
      </c>
      <c r="G3" s="2">
        <v>0.2</v>
      </c>
      <c r="H3" s="3">
        <v>45393</v>
      </c>
      <c r="I3" s="2">
        <v>440.51</v>
      </c>
      <c r="J3" s="24">
        <f t="shared" ref="J3:J66" ca="1" si="0">NOW()</f>
        <v>46309.874604861114</v>
      </c>
      <c r="K3" s="5"/>
      <c r="L3" s="1"/>
      <c r="O3">
        <f>SUM(I2:I201)</f>
        <v>68287.010000000009</v>
      </c>
    </row>
    <row r="4" spans="1:15" ht="15.75" hidden="1" thickBot="1" x14ac:dyDescent="0.3">
      <c r="A4" s="1" t="s">
        <v>16</v>
      </c>
      <c r="B4" s="1" t="s">
        <v>17</v>
      </c>
      <c r="C4" s="1" t="s">
        <v>18</v>
      </c>
      <c r="D4" s="1" t="s">
        <v>12</v>
      </c>
      <c r="E4" s="2">
        <v>713.34</v>
      </c>
      <c r="F4" s="2">
        <v>17</v>
      </c>
      <c r="G4" s="2">
        <v>0</v>
      </c>
      <c r="H4" s="3">
        <v>45396</v>
      </c>
      <c r="I4" s="2">
        <v>285.33999999999997</v>
      </c>
      <c r="J4" s="24">
        <f t="shared" ca="1" si="0"/>
        <v>46309.874604861114</v>
      </c>
      <c r="K4" s="5"/>
      <c r="L4" s="1"/>
    </row>
    <row r="5" spans="1:15" ht="30.75" hidden="1" thickBot="1" x14ac:dyDescent="0.3">
      <c r="A5" s="1" t="s">
        <v>19</v>
      </c>
      <c r="B5" s="1" t="s">
        <v>14</v>
      </c>
      <c r="C5" s="1" t="s">
        <v>20</v>
      </c>
      <c r="D5" s="1" t="s">
        <v>21</v>
      </c>
      <c r="E5" s="2">
        <v>760.93</v>
      </c>
      <c r="F5" s="2">
        <v>4</v>
      </c>
      <c r="G5" s="2">
        <v>0.15</v>
      </c>
      <c r="H5" s="3">
        <v>45396</v>
      </c>
      <c r="I5" s="2">
        <v>161.69999999999999</v>
      </c>
      <c r="J5" s="24">
        <f t="shared" ca="1" si="0"/>
        <v>46309.874604861114</v>
      </c>
      <c r="K5" s="6"/>
      <c r="L5" s="1"/>
    </row>
    <row r="6" spans="1:15" ht="15.75" hidden="1" thickBot="1" x14ac:dyDescent="0.3">
      <c r="A6" s="1" t="s">
        <v>22</v>
      </c>
      <c r="B6" s="1" t="s">
        <v>23</v>
      </c>
      <c r="C6" s="1" t="s">
        <v>24</v>
      </c>
      <c r="D6" s="1" t="s">
        <v>12</v>
      </c>
      <c r="E6" s="2">
        <v>847</v>
      </c>
      <c r="F6" s="2">
        <v>12</v>
      </c>
      <c r="G6" s="2">
        <v>0.2</v>
      </c>
      <c r="H6" s="3">
        <v>45397</v>
      </c>
      <c r="I6" s="2">
        <v>271.04000000000002</v>
      </c>
      <c r="J6" s="24">
        <f t="shared" ca="1" si="0"/>
        <v>46309.874604861114</v>
      </c>
      <c r="K6" s="5"/>
      <c r="L6" s="1"/>
    </row>
    <row r="7" spans="1:15" ht="30.75" hidden="1" thickBot="1" x14ac:dyDescent="0.3">
      <c r="A7" s="1" t="s">
        <v>25</v>
      </c>
      <c r="B7" s="1" t="s">
        <v>26</v>
      </c>
      <c r="C7" s="1" t="s">
        <v>24</v>
      </c>
      <c r="D7" s="1" t="s">
        <v>27</v>
      </c>
      <c r="E7" s="2">
        <v>965.64</v>
      </c>
      <c r="F7" s="2">
        <v>8</v>
      </c>
      <c r="G7" s="2">
        <v>0.1</v>
      </c>
      <c r="H7" s="3">
        <v>45398</v>
      </c>
      <c r="I7" s="2">
        <v>304.18</v>
      </c>
      <c r="J7" s="24">
        <f t="shared" ca="1" si="0"/>
        <v>46309.874604861114</v>
      </c>
      <c r="K7" s="5"/>
      <c r="L7" s="6"/>
    </row>
    <row r="8" spans="1:15" ht="30.75" hidden="1" thickBot="1" x14ac:dyDescent="0.3">
      <c r="A8" s="1" t="s">
        <v>28</v>
      </c>
      <c r="B8" s="1" t="s">
        <v>29</v>
      </c>
      <c r="C8" s="1" t="s">
        <v>11</v>
      </c>
      <c r="D8" s="1" t="s">
        <v>21</v>
      </c>
      <c r="E8" s="2">
        <v>1317.53</v>
      </c>
      <c r="F8" s="2">
        <v>12</v>
      </c>
      <c r="G8" s="2">
        <v>0.05</v>
      </c>
      <c r="H8" s="3">
        <v>45398</v>
      </c>
      <c r="I8" s="2">
        <v>312.91000000000003</v>
      </c>
      <c r="J8" s="24">
        <f t="shared" ca="1" si="0"/>
        <v>46309.874604861114</v>
      </c>
      <c r="K8" s="5"/>
      <c r="L8" s="6"/>
    </row>
    <row r="9" spans="1:15" ht="30.75" hidden="1" thickBot="1" x14ac:dyDescent="0.3">
      <c r="A9" s="1" t="s">
        <v>30</v>
      </c>
      <c r="B9" s="1" t="s">
        <v>31</v>
      </c>
      <c r="C9" s="1" t="s">
        <v>18</v>
      </c>
      <c r="D9" s="1" t="s">
        <v>27</v>
      </c>
      <c r="E9" s="2">
        <v>1074.47</v>
      </c>
      <c r="F9" s="2">
        <v>6</v>
      </c>
      <c r="G9" s="2">
        <v>0.2</v>
      </c>
      <c r="H9" s="3">
        <v>45401</v>
      </c>
      <c r="I9" s="2">
        <v>300.85000000000002</v>
      </c>
      <c r="J9" s="24">
        <f t="shared" ca="1" si="0"/>
        <v>46309.874604861114</v>
      </c>
      <c r="K9" s="6"/>
    </row>
    <row r="10" spans="1:15" ht="15.75" hidden="1" thickBot="1" x14ac:dyDescent="0.3">
      <c r="A10" s="1" t="s">
        <v>32</v>
      </c>
      <c r="B10" s="1" t="s">
        <v>33</v>
      </c>
      <c r="C10" s="1" t="s">
        <v>34</v>
      </c>
      <c r="D10" s="1" t="s">
        <v>12</v>
      </c>
      <c r="E10" s="2">
        <v>501.54</v>
      </c>
      <c r="F10" s="2">
        <v>11</v>
      </c>
      <c r="G10" s="2">
        <v>0.05</v>
      </c>
      <c r="H10" s="3">
        <v>45401</v>
      </c>
      <c r="I10" s="2">
        <v>190.59</v>
      </c>
      <c r="J10" s="24">
        <f t="shared" ca="1" si="0"/>
        <v>46309.874604861114</v>
      </c>
      <c r="K10" s="5"/>
    </row>
    <row r="11" spans="1:15" ht="15.75" hidden="1" thickBot="1" x14ac:dyDescent="0.3">
      <c r="A11" s="1" t="s">
        <v>35</v>
      </c>
      <c r="B11" s="1" t="s">
        <v>36</v>
      </c>
      <c r="C11" s="1" t="s">
        <v>34</v>
      </c>
      <c r="D11" s="1" t="s">
        <v>15</v>
      </c>
      <c r="E11" s="2">
        <v>737.31</v>
      </c>
      <c r="F11" s="2">
        <v>2</v>
      </c>
      <c r="G11" s="2">
        <v>0.05</v>
      </c>
      <c r="H11" s="3">
        <v>45401</v>
      </c>
      <c r="I11" s="2">
        <v>350.22</v>
      </c>
      <c r="J11" s="24">
        <f t="shared" ca="1" si="0"/>
        <v>46309.874604861114</v>
      </c>
      <c r="K11" s="5"/>
    </row>
    <row r="12" spans="1:15" ht="30.75" thickBot="1" x14ac:dyDescent="0.3">
      <c r="A12" s="1" t="s">
        <v>37</v>
      </c>
      <c r="B12" s="1" t="s">
        <v>38</v>
      </c>
      <c r="C12" s="1" t="s">
        <v>11</v>
      </c>
      <c r="D12" s="1" t="s">
        <v>39</v>
      </c>
      <c r="E12" s="2">
        <v>1572.82</v>
      </c>
      <c r="F12" s="2">
        <v>6</v>
      </c>
      <c r="G12" s="2">
        <v>0.05</v>
      </c>
      <c r="H12" s="3">
        <v>45402</v>
      </c>
      <c r="I12" s="2">
        <v>672.38</v>
      </c>
      <c r="J12" s="24">
        <f t="shared" ca="1" si="0"/>
        <v>46309.874604861114</v>
      </c>
      <c r="K12" s="5"/>
    </row>
    <row r="13" spans="1:15" ht="15.75" hidden="1" thickBot="1" x14ac:dyDescent="0.3">
      <c r="A13" s="1" t="s">
        <v>37</v>
      </c>
      <c r="B13" s="1" t="s">
        <v>36</v>
      </c>
      <c r="C13" s="1" t="s">
        <v>34</v>
      </c>
      <c r="D13" s="1" t="s">
        <v>12</v>
      </c>
      <c r="E13" s="2">
        <v>1343.13</v>
      </c>
      <c r="F13" s="2">
        <v>14</v>
      </c>
      <c r="G13" s="2">
        <v>0.15</v>
      </c>
      <c r="H13" s="3">
        <v>45404</v>
      </c>
      <c r="I13" s="2">
        <v>456.66</v>
      </c>
      <c r="J13" s="24">
        <f t="shared" ca="1" si="0"/>
        <v>46309.874604861114</v>
      </c>
      <c r="K13" s="6"/>
    </row>
    <row r="14" spans="1:15" ht="15.75" hidden="1" thickBot="1" x14ac:dyDescent="0.3">
      <c r="A14" s="1" t="s">
        <v>25</v>
      </c>
      <c r="B14" s="1" t="s">
        <v>26</v>
      </c>
      <c r="C14" s="1" t="s">
        <v>34</v>
      </c>
      <c r="D14" s="1" t="s">
        <v>12</v>
      </c>
      <c r="E14" s="2">
        <v>1191.58</v>
      </c>
      <c r="F14" s="2">
        <v>14</v>
      </c>
      <c r="G14" s="2">
        <v>0.05</v>
      </c>
      <c r="H14" s="3">
        <v>45406</v>
      </c>
      <c r="I14" s="2">
        <v>452.8</v>
      </c>
      <c r="J14" s="24">
        <f t="shared" ca="1" si="0"/>
        <v>46309.874604861114</v>
      </c>
      <c r="K14" s="5"/>
    </row>
    <row r="15" spans="1:15" ht="30.75" hidden="1" thickBot="1" x14ac:dyDescent="0.3">
      <c r="A15" s="1" t="s">
        <v>40</v>
      </c>
      <c r="B15" s="1" t="s">
        <v>14</v>
      </c>
      <c r="C15" s="1" t="s">
        <v>11</v>
      </c>
      <c r="D15" s="1" t="s">
        <v>27</v>
      </c>
      <c r="E15" s="2">
        <v>822.28</v>
      </c>
      <c r="F15" s="2">
        <v>7</v>
      </c>
      <c r="G15" s="2">
        <v>0.05</v>
      </c>
      <c r="H15" s="3">
        <v>45406</v>
      </c>
      <c r="I15" s="2">
        <v>273.41000000000003</v>
      </c>
      <c r="J15" s="24">
        <f t="shared" ca="1" si="0"/>
        <v>46309.874604861114</v>
      </c>
      <c r="K15" s="5"/>
    </row>
    <row r="16" spans="1:15" ht="30.75" hidden="1" thickBot="1" x14ac:dyDescent="0.3">
      <c r="A16" s="1" t="s">
        <v>41</v>
      </c>
      <c r="B16" s="1" t="s">
        <v>42</v>
      </c>
      <c r="C16" s="1" t="s">
        <v>24</v>
      </c>
      <c r="D16" s="1" t="s">
        <v>27</v>
      </c>
      <c r="E16" s="2">
        <v>521.66999999999996</v>
      </c>
      <c r="F16" s="2">
        <v>15</v>
      </c>
      <c r="G16" s="2">
        <v>0.15</v>
      </c>
      <c r="H16" s="3">
        <v>45409</v>
      </c>
      <c r="I16" s="2">
        <v>155.19999999999999</v>
      </c>
      <c r="J16" s="24">
        <f t="shared" ca="1" si="0"/>
        <v>46309.874604861114</v>
      </c>
      <c r="K16" s="5"/>
    </row>
    <row r="17" spans="1:11" ht="30.75" thickBot="1" x14ac:dyDescent="0.3">
      <c r="A17" s="1" t="s">
        <v>19</v>
      </c>
      <c r="B17" s="1" t="s">
        <v>43</v>
      </c>
      <c r="C17" s="1" t="s">
        <v>20</v>
      </c>
      <c r="D17" s="1" t="s">
        <v>21</v>
      </c>
      <c r="E17" s="2">
        <v>1502.93</v>
      </c>
      <c r="F17" s="2">
        <v>14</v>
      </c>
      <c r="G17" s="2">
        <v>0.2</v>
      </c>
      <c r="H17" s="3">
        <v>45410</v>
      </c>
      <c r="I17" s="2">
        <v>300.58999999999997</v>
      </c>
      <c r="J17" s="24">
        <f t="shared" ca="1" si="0"/>
        <v>46309.874604861114</v>
      </c>
      <c r="K17" s="6"/>
    </row>
    <row r="18" spans="1:11" ht="15.75" hidden="1" thickBot="1" x14ac:dyDescent="0.3">
      <c r="A18" s="1" t="s">
        <v>44</v>
      </c>
      <c r="B18" s="1" t="s">
        <v>14</v>
      </c>
      <c r="C18" s="1" t="s">
        <v>20</v>
      </c>
      <c r="D18" s="1" t="s">
        <v>12</v>
      </c>
      <c r="E18" s="2">
        <v>877.58</v>
      </c>
      <c r="F18" s="2">
        <v>10</v>
      </c>
      <c r="G18" s="2">
        <v>0.15</v>
      </c>
      <c r="H18" s="3">
        <v>45411</v>
      </c>
      <c r="I18" s="2">
        <v>298.38</v>
      </c>
      <c r="J18" s="24">
        <f t="shared" ca="1" si="0"/>
        <v>46309.874604861114</v>
      </c>
      <c r="K18" s="5"/>
    </row>
    <row r="19" spans="1:11" ht="15.75" hidden="1" thickBot="1" x14ac:dyDescent="0.3">
      <c r="A19" s="1" t="s">
        <v>28</v>
      </c>
      <c r="B19" s="1" t="s">
        <v>45</v>
      </c>
      <c r="C19" s="1" t="s">
        <v>11</v>
      </c>
      <c r="D19" s="1" t="s">
        <v>12</v>
      </c>
      <c r="E19" s="2">
        <v>636.70000000000005</v>
      </c>
      <c r="F19" s="2">
        <v>4</v>
      </c>
      <c r="G19" s="2">
        <v>0.2</v>
      </c>
      <c r="H19" s="3">
        <v>45411</v>
      </c>
      <c r="I19" s="2">
        <v>203.74</v>
      </c>
      <c r="J19" s="24">
        <f t="shared" ca="1" si="0"/>
        <v>46309.874604861114</v>
      </c>
      <c r="K19" s="5"/>
    </row>
    <row r="20" spans="1:11" ht="15.75" thickBot="1" x14ac:dyDescent="0.3">
      <c r="A20" s="1" t="s">
        <v>46</v>
      </c>
      <c r="B20" s="1" t="s">
        <v>47</v>
      </c>
      <c r="C20" s="1" t="s">
        <v>11</v>
      </c>
      <c r="D20" s="1" t="s">
        <v>12</v>
      </c>
      <c r="E20" s="2">
        <v>1506.14</v>
      </c>
      <c r="F20" s="2">
        <v>13</v>
      </c>
      <c r="G20" s="2">
        <v>0.2</v>
      </c>
      <c r="H20" s="3">
        <v>45412</v>
      </c>
      <c r="I20" s="2">
        <v>481.96</v>
      </c>
      <c r="J20" s="24">
        <f t="shared" ca="1" si="0"/>
        <v>46309.874604861114</v>
      </c>
      <c r="K20" s="5"/>
    </row>
    <row r="21" spans="1:11" ht="30.75" hidden="1" thickBot="1" x14ac:dyDescent="0.3">
      <c r="A21" s="1" t="s">
        <v>30</v>
      </c>
      <c r="B21" s="1" t="s">
        <v>31</v>
      </c>
      <c r="C21" s="1" t="s">
        <v>34</v>
      </c>
      <c r="D21" s="1" t="s">
        <v>21</v>
      </c>
      <c r="E21" s="2">
        <v>645.02</v>
      </c>
      <c r="F21" s="2">
        <v>4</v>
      </c>
      <c r="G21" s="2">
        <v>0</v>
      </c>
      <c r="H21" s="3">
        <v>45414</v>
      </c>
      <c r="I21" s="2">
        <v>161.26</v>
      </c>
      <c r="J21" s="24">
        <f t="shared" ca="1" si="0"/>
        <v>46309.874604861114</v>
      </c>
      <c r="K21" s="6"/>
    </row>
    <row r="22" spans="1:11" ht="15.75" hidden="1" thickBot="1" x14ac:dyDescent="0.3">
      <c r="A22" s="1" t="s">
        <v>25</v>
      </c>
      <c r="B22" s="1" t="s">
        <v>48</v>
      </c>
      <c r="C22" s="1" t="s">
        <v>20</v>
      </c>
      <c r="D22" s="1" t="s">
        <v>15</v>
      </c>
      <c r="E22" s="2">
        <v>953.3</v>
      </c>
      <c r="F22" s="2">
        <v>11</v>
      </c>
      <c r="G22" s="2">
        <v>0</v>
      </c>
      <c r="H22" s="3">
        <v>45415</v>
      </c>
      <c r="I22" s="2">
        <v>476.65</v>
      </c>
      <c r="J22" s="24">
        <f t="shared" ca="1" si="0"/>
        <v>46309.874604861114</v>
      </c>
      <c r="K22" s="5"/>
    </row>
    <row r="23" spans="1:11" ht="30.75" hidden="1" thickBot="1" x14ac:dyDescent="0.3">
      <c r="A23" s="1" t="s">
        <v>49</v>
      </c>
      <c r="B23" s="1" t="s">
        <v>14</v>
      </c>
      <c r="C23" s="1" t="s">
        <v>24</v>
      </c>
      <c r="D23" s="1" t="s">
        <v>21</v>
      </c>
      <c r="E23" s="2">
        <v>388.56</v>
      </c>
      <c r="F23" s="2">
        <v>14</v>
      </c>
      <c r="G23" s="2">
        <v>0.15</v>
      </c>
      <c r="H23" s="3">
        <v>45416</v>
      </c>
      <c r="I23" s="2">
        <v>82.57</v>
      </c>
      <c r="J23" s="24">
        <f t="shared" ca="1" si="0"/>
        <v>46309.874604861114</v>
      </c>
      <c r="K23" s="5"/>
    </row>
    <row r="24" spans="1:11" ht="15.75" hidden="1" thickBot="1" x14ac:dyDescent="0.3">
      <c r="A24" s="1" t="s">
        <v>9</v>
      </c>
      <c r="B24" s="1" t="s">
        <v>31</v>
      </c>
      <c r="C24" s="1" t="s">
        <v>11</v>
      </c>
      <c r="D24" s="1" t="s">
        <v>12</v>
      </c>
      <c r="E24" s="2">
        <v>743.17</v>
      </c>
      <c r="F24" s="2">
        <v>9</v>
      </c>
      <c r="G24" s="2">
        <v>0</v>
      </c>
      <c r="H24" s="3">
        <v>45416</v>
      </c>
      <c r="I24" s="2">
        <v>297.27</v>
      </c>
      <c r="J24" s="24">
        <f t="shared" ca="1" si="0"/>
        <v>46309.874604861114</v>
      </c>
      <c r="K24" s="5"/>
    </row>
    <row r="25" spans="1:11" ht="30.75" hidden="1" thickBot="1" x14ac:dyDescent="0.3">
      <c r="A25" s="1" t="s">
        <v>40</v>
      </c>
      <c r="B25" s="1" t="s">
        <v>31</v>
      </c>
      <c r="C25" s="1" t="s">
        <v>34</v>
      </c>
      <c r="D25" s="1" t="s">
        <v>21</v>
      </c>
      <c r="E25" s="2">
        <v>706.37</v>
      </c>
      <c r="F25" s="2">
        <v>6</v>
      </c>
      <c r="G25" s="2">
        <v>0</v>
      </c>
      <c r="H25" s="3">
        <v>45416</v>
      </c>
      <c r="I25" s="2">
        <v>176.59</v>
      </c>
      <c r="J25" s="24">
        <f t="shared" ca="1" si="0"/>
        <v>46309.874604861114</v>
      </c>
      <c r="K25" s="6"/>
    </row>
    <row r="26" spans="1:11" ht="30.75" hidden="1" thickBot="1" x14ac:dyDescent="0.3">
      <c r="A26" s="1" t="s">
        <v>13</v>
      </c>
      <c r="B26" s="1" t="s">
        <v>31</v>
      </c>
      <c r="C26" s="1" t="s">
        <v>34</v>
      </c>
      <c r="D26" s="1" t="s">
        <v>39</v>
      </c>
      <c r="E26" s="2">
        <v>925.31</v>
      </c>
      <c r="F26" s="2">
        <v>8</v>
      </c>
      <c r="G26" s="2">
        <v>0.1</v>
      </c>
      <c r="H26" s="3">
        <v>45418</v>
      </c>
      <c r="I26" s="2">
        <v>374.75</v>
      </c>
      <c r="J26" s="24">
        <f t="shared" ca="1" si="0"/>
        <v>46309.874604861114</v>
      </c>
      <c r="K26" s="5"/>
    </row>
    <row r="27" spans="1:11" ht="30.75" hidden="1" thickBot="1" x14ac:dyDescent="0.3">
      <c r="A27" s="1" t="s">
        <v>35</v>
      </c>
      <c r="B27" s="1" t="s">
        <v>50</v>
      </c>
      <c r="C27" s="1" t="s">
        <v>20</v>
      </c>
      <c r="D27" s="1" t="s">
        <v>21</v>
      </c>
      <c r="E27" s="2">
        <v>1173.1199999999999</v>
      </c>
      <c r="F27" s="2">
        <v>18</v>
      </c>
      <c r="G27" s="2">
        <v>0</v>
      </c>
      <c r="H27" s="3">
        <v>45418</v>
      </c>
      <c r="I27" s="2">
        <v>293.27999999999997</v>
      </c>
      <c r="J27" s="24">
        <f t="shared" ca="1" si="0"/>
        <v>46309.874604861114</v>
      </c>
      <c r="K27" s="5"/>
    </row>
    <row r="28" spans="1:11" ht="30.75" hidden="1" thickBot="1" x14ac:dyDescent="0.3">
      <c r="A28" s="1" t="s">
        <v>22</v>
      </c>
      <c r="B28" s="1" t="s">
        <v>51</v>
      </c>
      <c r="C28" s="1" t="s">
        <v>24</v>
      </c>
      <c r="D28" s="1" t="s">
        <v>27</v>
      </c>
      <c r="E28" s="2">
        <v>675.54</v>
      </c>
      <c r="F28" s="2">
        <v>17</v>
      </c>
      <c r="G28" s="2">
        <v>0</v>
      </c>
      <c r="H28" s="3">
        <v>45420</v>
      </c>
      <c r="I28" s="2">
        <v>236.44</v>
      </c>
      <c r="J28" s="24">
        <f t="shared" ca="1" si="0"/>
        <v>46309.874604861114</v>
      </c>
      <c r="K28" s="5"/>
    </row>
    <row r="29" spans="1:11" ht="15.75" hidden="1" thickBot="1" x14ac:dyDescent="0.3">
      <c r="A29" s="1" t="s">
        <v>25</v>
      </c>
      <c r="B29" s="1" t="s">
        <v>14</v>
      </c>
      <c r="C29" s="1" t="s">
        <v>34</v>
      </c>
      <c r="D29" s="1" t="s">
        <v>12</v>
      </c>
      <c r="E29" s="2">
        <v>939.09</v>
      </c>
      <c r="F29" s="2">
        <v>2</v>
      </c>
      <c r="G29" s="2">
        <v>0.05</v>
      </c>
      <c r="H29" s="3">
        <v>45422</v>
      </c>
      <c r="I29" s="2">
        <v>356.85</v>
      </c>
      <c r="J29" s="24">
        <f t="shared" ca="1" si="0"/>
        <v>46309.874604861114</v>
      </c>
      <c r="K29" s="6"/>
    </row>
    <row r="30" spans="1:11" ht="30.75" hidden="1" thickBot="1" x14ac:dyDescent="0.3">
      <c r="A30" s="1" t="s">
        <v>52</v>
      </c>
      <c r="B30" s="1" t="s">
        <v>53</v>
      </c>
      <c r="C30" s="1" t="s">
        <v>18</v>
      </c>
      <c r="D30" s="1" t="s">
        <v>39</v>
      </c>
      <c r="E30" s="2">
        <v>983.34</v>
      </c>
      <c r="F30" s="2">
        <v>19</v>
      </c>
      <c r="G30" s="2">
        <v>0.1</v>
      </c>
      <c r="H30" s="3">
        <v>45426</v>
      </c>
      <c r="I30" s="2">
        <v>398.25</v>
      </c>
      <c r="J30" s="24">
        <f t="shared" ca="1" si="0"/>
        <v>46309.874604861114</v>
      </c>
      <c r="K30" s="5"/>
    </row>
    <row r="31" spans="1:11" ht="30.75" hidden="1" thickBot="1" x14ac:dyDescent="0.3">
      <c r="A31" s="1" t="s">
        <v>52</v>
      </c>
      <c r="B31" s="1" t="s">
        <v>23</v>
      </c>
      <c r="C31" s="1" t="s">
        <v>20</v>
      </c>
      <c r="D31" s="1" t="s">
        <v>21</v>
      </c>
      <c r="E31" s="2">
        <v>801.21</v>
      </c>
      <c r="F31" s="2">
        <v>3</v>
      </c>
      <c r="G31" s="2">
        <v>0.2</v>
      </c>
      <c r="H31" s="3">
        <v>45426</v>
      </c>
      <c r="I31" s="2">
        <v>160.24</v>
      </c>
      <c r="J31" s="24">
        <f t="shared" ca="1" si="0"/>
        <v>46309.874604861114</v>
      </c>
      <c r="K31" s="5"/>
    </row>
    <row r="32" spans="1:11" ht="30.75" hidden="1" thickBot="1" x14ac:dyDescent="0.3">
      <c r="A32" s="1" t="s">
        <v>54</v>
      </c>
      <c r="B32" s="1" t="s">
        <v>55</v>
      </c>
      <c r="C32" s="1" t="s">
        <v>24</v>
      </c>
      <c r="D32" s="1" t="s">
        <v>21</v>
      </c>
      <c r="E32" s="2">
        <v>1450.71</v>
      </c>
      <c r="F32" s="2">
        <v>5</v>
      </c>
      <c r="G32" s="2">
        <v>0.1</v>
      </c>
      <c r="H32" s="3">
        <v>45427</v>
      </c>
      <c r="I32" s="2">
        <v>326.41000000000003</v>
      </c>
      <c r="J32" s="24">
        <f t="shared" ca="1" si="0"/>
        <v>46309.874604861114</v>
      </c>
      <c r="K32" s="5"/>
    </row>
    <row r="33" spans="1:11" ht="15.75" hidden="1" thickBot="1" x14ac:dyDescent="0.3">
      <c r="A33" s="1" t="s">
        <v>49</v>
      </c>
      <c r="B33" s="1" t="s">
        <v>56</v>
      </c>
      <c r="C33" s="1" t="s">
        <v>34</v>
      </c>
      <c r="D33" s="1" t="s">
        <v>12</v>
      </c>
      <c r="E33" s="2">
        <v>1023.21</v>
      </c>
      <c r="F33" s="2">
        <v>18</v>
      </c>
      <c r="G33" s="2">
        <v>0.05</v>
      </c>
      <c r="H33" s="3">
        <v>45428</v>
      </c>
      <c r="I33" s="2">
        <v>388.82</v>
      </c>
      <c r="J33" s="24">
        <f t="shared" ca="1" si="0"/>
        <v>46309.874604861114</v>
      </c>
      <c r="K33" s="6"/>
    </row>
    <row r="34" spans="1:11" ht="30.75" hidden="1" thickBot="1" x14ac:dyDescent="0.3">
      <c r="A34" s="1" t="s">
        <v>28</v>
      </c>
      <c r="B34" s="1" t="s">
        <v>47</v>
      </c>
      <c r="C34" s="1" t="s">
        <v>11</v>
      </c>
      <c r="D34" s="1" t="s">
        <v>27</v>
      </c>
      <c r="E34" s="2">
        <v>853.72</v>
      </c>
      <c r="F34" s="2">
        <v>5</v>
      </c>
      <c r="G34" s="2">
        <v>0.15</v>
      </c>
      <c r="H34" s="3">
        <v>45428</v>
      </c>
      <c r="I34" s="2">
        <v>253.98</v>
      </c>
      <c r="J34" s="24">
        <f t="shared" ca="1" si="0"/>
        <v>46309.874604861114</v>
      </c>
      <c r="K34" s="5"/>
    </row>
    <row r="35" spans="1:11" ht="30.75" hidden="1" thickBot="1" x14ac:dyDescent="0.3">
      <c r="A35" s="1" t="s">
        <v>57</v>
      </c>
      <c r="B35" s="1" t="s">
        <v>43</v>
      </c>
      <c r="C35" s="1" t="s">
        <v>20</v>
      </c>
      <c r="D35" s="1" t="s">
        <v>21</v>
      </c>
      <c r="E35" s="2">
        <v>967.89</v>
      </c>
      <c r="F35" s="2">
        <v>10</v>
      </c>
      <c r="G35" s="2">
        <v>0.1</v>
      </c>
      <c r="H35" s="3">
        <v>45429</v>
      </c>
      <c r="I35" s="2">
        <v>217.78</v>
      </c>
      <c r="J35" s="24">
        <f t="shared" ca="1" si="0"/>
        <v>46309.874604861114</v>
      </c>
      <c r="K35" s="5"/>
    </row>
    <row r="36" spans="1:11" ht="30.75" hidden="1" thickBot="1" x14ac:dyDescent="0.3">
      <c r="A36" s="1" t="s">
        <v>58</v>
      </c>
      <c r="B36" s="1" t="s">
        <v>53</v>
      </c>
      <c r="C36" s="1" t="s">
        <v>24</v>
      </c>
      <c r="D36" s="1" t="s">
        <v>39</v>
      </c>
      <c r="E36" s="2">
        <v>1200.9000000000001</v>
      </c>
      <c r="F36" s="2">
        <v>14</v>
      </c>
      <c r="G36" s="2">
        <v>0.05</v>
      </c>
      <c r="H36" s="3">
        <v>45429</v>
      </c>
      <c r="I36" s="2">
        <v>513.38</v>
      </c>
      <c r="J36" s="24">
        <f t="shared" ca="1" si="0"/>
        <v>46309.874604861114</v>
      </c>
      <c r="K36" s="5"/>
    </row>
    <row r="37" spans="1:11" ht="15.75" hidden="1" thickBot="1" x14ac:dyDescent="0.3">
      <c r="A37" s="1" t="s">
        <v>13</v>
      </c>
      <c r="B37" s="1" t="s">
        <v>26</v>
      </c>
      <c r="C37" s="1" t="s">
        <v>11</v>
      </c>
      <c r="D37" s="1" t="s">
        <v>12</v>
      </c>
      <c r="E37" s="2">
        <v>472.38</v>
      </c>
      <c r="F37" s="2">
        <v>12</v>
      </c>
      <c r="G37" s="2">
        <v>0.2</v>
      </c>
      <c r="H37" s="3">
        <v>45429</v>
      </c>
      <c r="I37" s="2">
        <v>151.16</v>
      </c>
      <c r="J37" s="24">
        <f t="shared" ca="1" si="0"/>
        <v>46309.874604861114</v>
      </c>
      <c r="K37" s="6"/>
    </row>
    <row r="38" spans="1:11" ht="30.75" hidden="1" thickBot="1" x14ac:dyDescent="0.3">
      <c r="A38" s="1" t="s">
        <v>9</v>
      </c>
      <c r="B38" s="1" t="s">
        <v>55</v>
      </c>
      <c r="C38" s="1" t="s">
        <v>18</v>
      </c>
      <c r="D38" s="1" t="s">
        <v>39</v>
      </c>
      <c r="E38" s="2">
        <v>840.92</v>
      </c>
      <c r="F38" s="2">
        <v>9</v>
      </c>
      <c r="G38" s="2">
        <v>0.05</v>
      </c>
      <c r="H38" s="3">
        <v>45429</v>
      </c>
      <c r="I38" s="2">
        <v>359.49</v>
      </c>
      <c r="J38" s="24">
        <f t="shared" ca="1" si="0"/>
        <v>46309.874604861114</v>
      </c>
      <c r="K38" s="5"/>
    </row>
    <row r="39" spans="1:11" ht="30.75" hidden="1" thickBot="1" x14ac:dyDescent="0.3">
      <c r="A39" s="1" t="s">
        <v>52</v>
      </c>
      <c r="B39" s="1" t="s">
        <v>48</v>
      </c>
      <c r="C39" s="1" t="s">
        <v>34</v>
      </c>
      <c r="D39" s="1" t="s">
        <v>27</v>
      </c>
      <c r="E39" s="2">
        <v>1410.06</v>
      </c>
      <c r="F39" s="2">
        <v>11</v>
      </c>
      <c r="G39" s="2">
        <v>0.05</v>
      </c>
      <c r="H39" s="3">
        <v>45434</v>
      </c>
      <c r="I39" s="2">
        <v>468.84</v>
      </c>
      <c r="J39" s="24">
        <f t="shared" ca="1" si="0"/>
        <v>46309.874604861114</v>
      </c>
      <c r="K39" s="5"/>
    </row>
    <row r="40" spans="1:11" ht="30.75" hidden="1" thickBot="1" x14ac:dyDescent="0.3">
      <c r="A40" s="1" t="s">
        <v>44</v>
      </c>
      <c r="B40" s="1" t="s">
        <v>59</v>
      </c>
      <c r="C40" s="1" t="s">
        <v>34</v>
      </c>
      <c r="D40" s="1" t="s">
        <v>27</v>
      </c>
      <c r="E40" s="2">
        <v>773.09</v>
      </c>
      <c r="F40" s="2">
        <v>13</v>
      </c>
      <c r="G40" s="2">
        <v>0.15</v>
      </c>
      <c r="H40" s="3">
        <v>45434</v>
      </c>
      <c r="I40" s="2">
        <v>229.99</v>
      </c>
      <c r="J40" s="24">
        <f t="shared" ca="1" si="0"/>
        <v>46309.874604861114</v>
      </c>
      <c r="K40" s="5"/>
    </row>
    <row r="41" spans="1:11" ht="15.75" hidden="1" thickBot="1" x14ac:dyDescent="0.3">
      <c r="A41" s="1" t="s">
        <v>60</v>
      </c>
      <c r="B41" s="1" t="s">
        <v>61</v>
      </c>
      <c r="C41" s="1" t="s">
        <v>18</v>
      </c>
      <c r="D41" s="1" t="s">
        <v>12</v>
      </c>
      <c r="E41" s="2">
        <v>580.42999999999995</v>
      </c>
      <c r="F41" s="2">
        <v>19</v>
      </c>
      <c r="G41" s="2">
        <v>0.15</v>
      </c>
      <c r="H41" s="3">
        <v>45435</v>
      </c>
      <c r="I41" s="2">
        <v>197.35</v>
      </c>
      <c r="J41" s="24">
        <f t="shared" ca="1" si="0"/>
        <v>46309.874604861114</v>
      </c>
      <c r="K41" s="6"/>
    </row>
    <row r="42" spans="1:11" ht="15.75" hidden="1" thickBot="1" x14ac:dyDescent="0.3">
      <c r="A42" s="1" t="s">
        <v>19</v>
      </c>
      <c r="B42" s="1" t="s">
        <v>42</v>
      </c>
      <c r="C42" s="1" t="s">
        <v>20</v>
      </c>
      <c r="D42" s="1" t="s">
        <v>12</v>
      </c>
      <c r="E42" s="2">
        <v>1151.21</v>
      </c>
      <c r="F42" s="2">
        <v>15</v>
      </c>
      <c r="G42" s="2">
        <v>0.1</v>
      </c>
      <c r="H42" s="3">
        <v>45445</v>
      </c>
      <c r="I42" s="2">
        <v>414.44</v>
      </c>
      <c r="J42" s="24">
        <f t="shared" ca="1" si="0"/>
        <v>46309.874604861114</v>
      </c>
      <c r="K42" s="5"/>
    </row>
    <row r="43" spans="1:11" ht="30.75" hidden="1" thickBot="1" x14ac:dyDescent="0.3">
      <c r="A43" s="1" t="s">
        <v>52</v>
      </c>
      <c r="B43" s="1" t="s">
        <v>23</v>
      </c>
      <c r="C43" s="1" t="s">
        <v>34</v>
      </c>
      <c r="D43" s="1" t="s">
        <v>39</v>
      </c>
      <c r="E43" s="2">
        <v>1025.98</v>
      </c>
      <c r="F43" s="2">
        <v>5</v>
      </c>
      <c r="G43" s="2">
        <v>0.2</v>
      </c>
      <c r="H43" s="3">
        <v>45447</v>
      </c>
      <c r="I43" s="2">
        <v>369.35</v>
      </c>
      <c r="J43" s="24">
        <f t="shared" ca="1" si="0"/>
        <v>46309.874604861114</v>
      </c>
      <c r="K43" s="5"/>
    </row>
    <row r="44" spans="1:11" ht="30.75" hidden="1" thickBot="1" x14ac:dyDescent="0.3">
      <c r="A44" s="1" t="s">
        <v>40</v>
      </c>
      <c r="B44" s="1" t="s">
        <v>56</v>
      </c>
      <c r="C44" s="1" t="s">
        <v>18</v>
      </c>
      <c r="D44" s="1" t="s">
        <v>39</v>
      </c>
      <c r="E44" s="2">
        <v>556.41999999999996</v>
      </c>
      <c r="F44" s="2">
        <v>11</v>
      </c>
      <c r="G44" s="2">
        <v>0.15</v>
      </c>
      <c r="H44" s="3">
        <v>45447</v>
      </c>
      <c r="I44" s="2">
        <v>212.83</v>
      </c>
      <c r="J44" s="24">
        <f t="shared" ca="1" si="0"/>
        <v>46309.874604861114</v>
      </c>
      <c r="K44" s="5"/>
    </row>
    <row r="45" spans="1:11" ht="15.75" hidden="1" thickBot="1" x14ac:dyDescent="0.3">
      <c r="A45" s="1" t="s">
        <v>57</v>
      </c>
      <c r="B45" s="1" t="s">
        <v>23</v>
      </c>
      <c r="C45" s="1" t="s">
        <v>34</v>
      </c>
      <c r="D45" s="1" t="s">
        <v>12</v>
      </c>
      <c r="E45" s="2">
        <v>840.85</v>
      </c>
      <c r="F45" s="2">
        <v>19</v>
      </c>
      <c r="G45" s="2">
        <v>0.1</v>
      </c>
      <c r="H45" s="3">
        <v>45448</v>
      </c>
      <c r="I45" s="2">
        <v>302.70999999999998</v>
      </c>
      <c r="J45" s="24">
        <f t="shared" ca="1" si="0"/>
        <v>46309.874604861114</v>
      </c>
      <c r="K45" s="6"/>
    </row>
    <row r="46" spans="1:11" ht="30.75" hidden="1" thickBot="1" x14ac:dyDescent="0.3">
      <c r="A46" s="1" t="s">
        <v>30</v>
      </c>
      <c r="B46" s="1" t="s">
        <v>61</v>
      </c>
      <c r="C46" s="1" t="s">
        <v>24</v>
      </c>
      <c r="D46" s="1" t="s">
        <v>27</v>
      </c>
      <c r="E46" s="2">
        <v>1227.25</v>
      </c>
      <c r="F46" s="2">
        <v>12</v>
      </c>
      <c r="G46" s="2">
        <v>0.15</v>
      </c>
      <c r="H46" s="3">
        <v>45448</v>
      </c>
      <c r="I46" s="2">
        <v>365.11</v>
      </c>
      <c r="J46" s="24">
        <f t="shared" ca="1" si="0"/>
        <v>46309.874604861114</v>
      </c>
      <c r="K46" s="5"/>
    </row>
    <row r="47" spans="1:11" ht="30.75" hidden="1" thickBot="1" x14ac:dyDescent="0.3">
      <c r="A47" s="1" t="s">
        <v>16</v>
      </c>
      <c r="B47" s="1" t="s">
        <v>62</v>
      </c>
      <c r="C47" s="1" t="s">
        <v>34</v>
      </c>
      <c r="D47" s="1" t="s">
        <v>21</v>
      </c>
      <c r="E47" s="2">
        <v>856.7</v>
      </c>
      <c r="F47" s="2">
        <v>2</v>
      </c>
      <c r="G47" s="2">
        <v>0</v>
      </c>
      <c r="H47" s="3">
        <v>45449</v>
      </c>
      <c r="I47" s="2">
        <v>214.18</v>
      </c>
      <c r="J47" s="24">
        <f t="shared" ca="1" si="0"/>
        <v>46309.874604861114</v>
      </c>
      <c r="K47" s="5"/>
    </row>
    <row r="48" spans="1:11" ht="30.75" hidden="1" thickBot="1" x14ac:dyDescent="0.3">
      <c r="A48" s="1" t="s">
        <v>54</v>
      </c>
      <c r="B48" s="1" t="s">
        <v>56</v>
      </c>
      <c r="C48" s="1" t="s">
        <v>34</v>
      </c>
      <c r="D48" s="1" t="s">
        <v>39</v>
      </c>
      <c r="E48" s="2">
        <v>1225.42</v>
      </c>
      <c r="F48" s="2">
        <v>8</v>
      </c>
      <c r="G48" s="2">
        <v>0.15</v>
      </c>
      <c r="H48" s="3">
        <v>45449</v>
      </c>
      <c r="I48" s="2">
        <v>468.72</v>
      </c>
      <c r="J48" s="24">
        <f t="shared" ca="1" si="0"/>
        <v>46309.874604861114</v>
      </c>
      <c r="K48" s="5"/>
    </row>
    <row r="49" spans="1:11" ht="30.75" hidden="1" thickBot="1" x14ac:dyDescent="0.3">
      <c r="A49" s="1" t="s">
        <v>63</v>
      </c>
      <c r="B49" s="1" t="s">
        <v>31</v>
      </c>
      <c r="C49" s="1" t="s">
        <v>24</v>
      </c>
      <c r="D49" s="1" t="s">
        <v>39</v>
      </c>
      <c r="E49" s="2">
        <v>1001.57</v>
      </c>
      <c r="F49" s="2">
        <v>12</v>
      </c>
      <c r="G49" s="2">
        <v>0</v>
      </c>
      <c r="H49" s="3">
        <v>45450</v>
      </c>
      <c r="I49" s="2">
        <v>450.71</v>
      </c>
      <c r="J49" s="24">
        <f t="shared" ca="1" si="0"/>
        <v>46309.874604861114</v>
      </c>
      <c r="K49" s="6"/>
    </row>
    <row r="50" spans="1:11" ht="30.75" hidden="1" thickBot="1" x14ac:dyDescent="0.3">
      <c r="A50" s="1" t="s">
        <v>57</v>
      </c>
      <c r="B50" s="1" t="s">
        <v>26</v>
      </c>
      <c r="C50" s="1" t="s">
        <v>18</v>
      </c>
      <c r="D50" s="1" t="s">
        <v>27</v>
      </c>
      <c r="E50" s="2">
        <v>1186.8499999999999</v>
      </c>
      <c r="F50" s="2">
        <v>19</v>
      </c>
      <c r="G50" s="2">
        <v>0.2</v>
      </c>
      <c r="H50" s="3">
        <v>45451</v>
      </c>
      <c r="I50" s="2">
        <v>332.32</v>
      </c>
      <c r="J50" s="24">
        <f t="shared" ca="1" si="0"/>
        <v>46309.874604861114</v>
      </c>
      <c r="K50" s="5"/>
    </row>
    <row r="51" spans="1:11" ht="30.75" hidden="1" thickBot="1" x14ac:dyDescent="0.3">
      <c r="A51" s="1" t="s">
        <v>44</v>
      </c>
      <c r="B51" s="1" t="s">
        <v>51</v>
      </c>
      <c r="C51" s="1" t="s">
        <v>20</v>
      </c>
      <c r="D51" s="1" t="s">
        <v>21</v>
      </c>
      <c r="E51" s="2">
        <v>775.45</v>
      </c>
      <c r="F51" s="2">
        <v>6</v>
      </c>
      <c r="G51" s="2">
        <v>0.1</v>
      </c>
      <c r="H51" s="3">
        <v>45457</v>
      </c>
      <c r="I51" s="2">
        <v>174.48</v>
      </c>
      <c r="J51" s="24">
        <f t="shared" ca="1" si="0"/>
        <v>46309.874604861114</v>
      </c>
      <c r="K51" s="5"/>
    </row>
    <row r="52" spans="1:11" ht="30.75" hidden="1" thickBot="1" x14ac:dyDescent="0.3">
      <c r="A52" s="1" t="s">
        <v>25</v>
      </c>
      <c r="B52" s="1" t="s">
        <v>33</v>
      </c>
      <c r="C52" s="1" t="s">
        <v>20</v>
      </c>
      <c r="D52" s="1" t="s">
        <v>21</v>
      </c>
      <c r="E52" s="2">
        <v>1021.47</v>
      </c>
      <c r="F52" s="2">
        <v>6</v>
      </c>
      <c r="G52" s="2">
        <v>0.05</v>
      </c>
      <c r="H52" s="3">
        <v>45461</v>
      </c>
      <c r="I52" s="2">
        <v>242.6</v>
      </c>
      <c r="J52" s="24">
        <f t="shared" ca="1" si="0"/>
        <v>46309.874604861114</v>
      </c>
      <c r="K52" s="5"/>
    </row>
    <row r="53" spans="1:11" ht="15.75" hidden="1" thickBot="1" x14ac:dyDescent="0.3">
      <c r="A53" s="1" t="s">
        <v>58</v>
      </c>
      <c r="B53" s="1" t="s">
        <v>23</v>
      </c>
      <c r="C53" s="1" t="s">
        <v>20</v>
      </c>
      <c r="D53" s="1" t="s">
        <v>15</v>
      </c>
      <c r="E53" s="2">
        <v>1226.6199999999999</v>
      </c>
      <c r="F53" s="2">
        <v>7</v>
      </c>
      <c r="G53" s="2">
        <v>0.1</v>
      </c>
      <c r="H53" s="3">
        <v>45463</v>
      </c>
      <c r="I53" s="2">
        <v>551.98</v>
      </c>
      <c r="J53" s="24">
        <f t="shared" ca="1" si="0"/>
        <v>46309.874604861114</v>
      </c>
      <c r="K53" s="6"/>
    </row>
    <row r="54" spans="1:11" ht="30.75" hidden="1" thickBot="1" x14ac:dyDescent="0.3">
      <c r="A54" s="1" t="s">
        <v>22</v>
      </c>
      <c r="B54" s="1" t="s">
        <v>64</v>
      </c>
      <c r="C54" s="1" t="s">
        <v>20</v>
      </c>
      <c r="D54" s="1" t="s">
        <v>27</v>
      </c>
      <c r="E54" s="2">
        <v>1086.93</v>
      </c>
      <c r="F54" s="2">
        <v>2</v>
      </c>
      <c r="G54" s="2">
        <v>0</v>
      </c>
      <c r="H54" s="3">
        <v>45464</v>
      </c>
      <c r="I54" s="2">
        <v>380.43</v>
      </c>
      <c r="J54" s="24">
        <f t="shared" ca="1" si="0"/>
        <v>46309.874604861114</v>
      </c>
      <c r="K54" s="5"/>
    </row>
    <row r="55" spans="1:11" ht="15.75" hidden="1" thickBot="1" x14ac:dyDescent="0.3">
      <c r="A55" s="1" t="s">
        <v>65</v>
      </c>
      <c r="B55" s="1" t="s">
        <v>48</v>
      </c>
      <c r="C55" s="1" t="s">
        <v>11</v>
      </c>
      <c r="D55" s="1" t="s">
        <v>12</v>
      </c>
      <c r="E55" s="2">
        <v>942.9</v>
      </c>
      <c r="F55" s="2">
        <v>18</v>
      </c>
      <c r="G55" s="2">
        <v>0.1</v>
      </c>
      <c r="H55" s="3">
        <v>45466</v>
      </c>
      <c r="I55" s="2">
        <v>339.44</v>
      </c>
      <c r="J55" s="24">
        <f t="shared" ca="1" si="0"/>
        <v>46309.874604861114</v>
      </c>
      <c r="K55" s="5"/>
    </row>
    <row r="56" spans="1:11" ht="30.75" hidden="1" thickBot="1" x14ac:dyDescent="0.3">
      <c r="A56" s="1" t="s">
        <v>32</v>
      </c>
      <c r="B56" s="1" t="s">
        <v>38</v>
      </c>
      <c r="C56" s="1" t="s">
        <v>24</v>
      </c>
      <c r="D56" s="1" t="s">
        <v>21</v>
      </c>
      <c r="E56" s="2">
        <v>818.8</v>
      </c>
      <c r="F56" s="2">
        <v>15</v>
      </c>
      <c r="G56" s="2">
        <v>0.15</v>
      </c>
      <c r="H56" s="3">
        <v>45468</v>
      </c>
      <c r="I56" s="2">
        <v>173.99</v>
      </c>
      <c r="J56" s="24">
        <f t="shared" ca="1" si="0"/>
        <v>46309.874604861114</v>
      </c>
      <c r="K56" s="5"/>
    </row>
    <row r="57" spans="1:11" ht="30.75" hidden="1" thickBot="1" x14ac:dyDescent="0.3">
      <c r="A57" s="1" t="s">
        <v>19</v>
      </c>
      <c r="B57" s="1" t="s">
        <v>14</v>
      </c>
      <c r="C57" s="1" t="s">
        <v>20</v>
      </c>
      <c r="D57" s="1" t="s">
        <v>27</v>
      </c>
      <c r="E57" s="2">
        <v>919.04</v>
      </c>
      <c r="F57" s="2">
        <v>10</v>
      </c>
      <c r="G57" s="2">
        <v>0.2</v>
      </c>
      <c r="H57" s="3">
        <v>45468</v>
      </c>
      <c r="I57" s="2">
        <v>257.33</v>
      </c>
      <c r="J57" s="24">
        <f t="shared" ca="1" si="0"/>
        <v>46309.874604861114</v>
      </c>
      <c r="K57" s="6"/>
    </row>
    <row r="58" spans="1:11" ht="15.75" hidden="1" thickBot="1" x14ac:dyDescent="0.3">
      <c r="A58" s="1" t="s">
        <v>22</v>
      </c>
      <c r="B58" s="1" t="s">
        <v>66</v>
      </c>
      <c r="C58" s="1" t="s">
        <v>34</v>
      </c>
      <c r="D58" s="1" t="s">
        <v>12</v>
      </c>
      <c r="E58" s="2">
        <v>973.26</v>
      </c>
      <c r="F58" s="2">
        <v>11</v>
      </c>
      <c r="G58" s="2">
        <v>0</v>
      </c>
      <c r="H58" s="3">
        <v>45470</v>
      </c>
      <c r="I58" s="2">
        <v>389.3</v>
      </c>
      <c r="J58" s="24">
        <f t="shared" ca="1" si="0"/>
        <v>46309.874604861114</v>
      </c>
      <c r="K58" s="5"/>
    </row>
    <row r="59" spans="1:11" ht="30.75" hidden="1" thickBot="1" x14ac:dyDescent="0.3">
      <c r="A59" s="1" t="s">
        <v>41</v>
      </c>
      <c r="B59" s="1" t="s">
        <v>64</v>
      </c>
      <c r="C59" s="1" t="s">
        <v>24</v>
      </c>
      <c r="D59" s="1" t="s">
        <v>21</v>
      </c>
      <c r="E59" s="2">
        <v>741.61</v>
      </c>
      <c r="F59" s="2">
        <v>1</v>
      </c>
      <c r="G59" s="2">
        <v>0.2</v>
      </c>
      <c r="H59" s="3">
        <v>45471</v>
      </c>
      <c r="I59" s="2">
        <v>148.32</v>
      </c>
      <c r="J59" s="24">
        <f t="shared" ca="1" si="0"/>
        <v>46309.874604861114</v>
      </c>
      <c r="K59" s="5"/>
    </row>
    <row r="60" spans="1:11" ht="15.75" hidden="1" thickBot="1" x14ac:dyDescent="0.3">
      <c r="A60" s="1" t="s">
        <v>67</v>
      </c>
      <c r="B60" s="1" t="s">
        <v>38</v>
      </c>
      <c r="C60" s="1" t="s">
        <v>24</v>
      </c>
      <c r="D60" s="1" t="s">
        <v>12</v>
      </c>
      <c r="E60" s="2">
        <v>1248.82</v>
      </c>
      <c r="F60" s="2">
        <v>2</v>
      </c>
      <c r="G60" s="2">
        <v>0.1</v>
      </c>
      <c r="H60" s="3">
        <v>45473</v>
      </c>
      <c r="I60" s="2">
        <v>449.58</v>
      </c>
      <c r="J60" s="24">
        <f t="shared" ca="1" si="0"/>
        <v>46309.874604861114</v>
      </c>
      <c r="K60" s="5"/>
    </row>
    <row r="61" spans="1:11" ht="15.75" hidden="1" thickBot="1" x14ac:dyDescent="0.3">
      <c r="A61" s="1" t="s">
        <v>13</v>
      </c>
      <c r="B61" s="1" t="s">
        <v>59</v>
      </c>
      <c r="C61" s="1" t="s">
        <v>11</v>
      </c>
      <c r="D61" s="1" t="s">
        <v>15</v>
      </c>
      <c r="E61" s="2">
        <v>1360.36</v>
      </c>
      <c r="F61" s="2">
        <v>17</v>
      </c>
      <c r="G61" s="2">
        <v>0</v>
      </c>
      <c r="H61" s="3">
        <v>45473</v>
      </c>
      <c r="I61" s="2">
        <v>680.18</v>
      </c>
      <c r="J61" s="24">
        <f t="shared" ca="1" si="0"/>
        <v>46309.874604861114</v>
      </c>
      <c r="K61" s="6"/>
    </row>
    <row r="62" spans="1:11" ht="15.75" hidden="1" thickBot="1" x14ac:dyDescent="0.3">
      <c r="A62" s="1" t="s">
        <v>57</v>
      </c>
      <c r="B62" s="1" t="s">
        <v>31</v>
      </c>
      <c r="C62" s="1" t="s">
        <v>18</v>
      </c>
      <c r="D62" s="1" t="s">
        <v>12</v>
      </c>
      <c r="E62" s="2">
        <v>1383.3</v>
      </c>
      <c r="F62" s="2">
        <v>8</v>
      </c>
      <c r="G62" s="2">
        <v>0.1</v>
      </c>
      <c r="H62" s="3">
        <v>45478</v>
      </c>
      <c r="I62" s="2">
        <v>497.99</v>
      </c>
      <c r="J62" s="24">
        <f t="shared" ca="1" si="0"/>
        <v>46309.874604861114</v>
      </c>
      <c r="K62" s="5"/>
    </row>
    <row r="63" spans="1:11" ht="30.75" hidden="1" thickBot="1" x14ac:dyDescent="0.3">
      <c r="A63" s="1" t="s">
        <v>35</v>
      </c>
      <c r="B63" s="1" t="s">
        <v>55</v>
      </c>
      <c r="C63" s="1" t="s">
        <v>34</v>
      </c>
      <c r="D63" s="1" t="s">
        <v>39</v>
      </c>
      <c r="E63" s="2">
        <v>488.99</v>
      </c>
      <c r="F63" s="2">
        <v>9</v>
      </c>
      <c r="G63" s="2">
        <v>0</v>
      </c>
      <c r="H63" s="3">
        <v>45479</v>
      </c>
      <c r="I63" s="2">
        <v>220.05</v>
      </c>
      <c r="J63" s="24">
        <f t="shared" ca="1" si="0"/>
        <v>46309.874604861114</v>
      </c>
      <c r="K63" s="5"/>
    </row>
    <row r="64" spans="1:11" ht="30.75" hidden="1" thickBot="1" x14ac:dyDescent="0.3">
      <c r="A64" s="1" t="s">
        <v>30</v>
      </c>
      <c r="B64" s="1" t="s">
        <v>31</v>
      </c>
      <c r="C64" s="1" t="s">
        <v>18</v>
      </c>
      <c r="D64" s="1" t="s">
        <v>27</v>
      </c>
      <c r="E64" s="2">
        <v>933.71</v>
      </c>
      <c r="F64" s="2">
        <v>17</v>
      </c>
      <c r="G64" s="2">
        <v>0.1</v>
      </c>
      <c r="H64" s="3">
        <v>45481</v>
      </c>
      <c r="I64" s="2">
        <v>294.12</v>
      </c>
      <c r="J64" s="24">
        <f t="shared" ca="1" si="0"/>
        <v>46309.874604861114</v>
      </c>
      <c r="K64" s="5"/>
    </row>
    <row r="65" spans="1:11" ht="30.75" hidden="1" thickBot="1" x14ac:dyDescent="0.3">
      <c r="A65" s="1" t="s">
        <v>67</v>
      </c>
      <c r="B65" s="1" t="s">
        <v>10</v>
      </c>
      <c r="C65" s="1" t="s">
        <v>11</v>
      </c>
      <c r="D65" s="1" t="s">
        <v>21</v>
      </c>
      <c r="E65" s="2">
        <v>1005.53</v>
      </c>
      <c r="F65" s="2">
        <v>17</v>
      </c>
      <c r="G65" s="2">
        <v>0.2</v>
      </c>
      <c r="H65" s="3">
        <v>45481</v>
      </c>
      <c r="I65" s="2">
        <v>201.11</v>
      </c>
      <c r="J65" s="24">
        <f t="shared" ca="1" si="0"/>
        <v>46309.874604861114</v>
      </c>
      <c r="K65" s="6"/>
    </row>
    <row r="66" spans="1:11" ht="30.75" hidden="1" thickBot="1" x14ac:dyDescent="0.3">
      <c r="A66" s="1" t="s">
        <v>41</v>
      </c>
      <c r="B66" s="1" t="s">
        <v>61</v>
      </c>
      <c r="C66" s="1" t="s">
        <v>20</v>
      </c>
      <c r="D66" s="1" t="s">
        <v>21</v>
      </c>
      <c r="E66" s="2">
        <v>1100.0999999999999</v>
      </c>
      <c r="F66" s="2">
        <v>5</v>
      </c>
      <c r="G66" s="2">
        <v>0.05</v>
      </c>
      <c r="H66" s="3">
        <v>45482</v>
      </c>
      <c r="I66" s="2">
        <v>261.27</v>
      </c>
      <c r="J66" s="24">
        <f t="shared" ca="1" si="0"/>
        <v>46309.874604861114</v>
      </c>
      <c r="K66" s="5"/>
    </row>
    <row r="67" spans="1:11" ht="30.75" hidden="1" thickBot="1" x14ac:dyDescent="0.3">
      <c r="A67" s="1" t="s">
        <v>67</v>
      </c>
      <c r="B67" s="1" t="s">
        <v>23</v>
      </c>
      <c r="C67" s="1" t="s">
        <v>24</v>
      </c>
      <c r="D67" s="1" t="s">
        <v>27</v>
      </c>
      <c r="E67" s="2">
        <v>1034.7</v>
      </c>
      <c r="F67" s="2">
        <v>15</v>
      </c>
      <c r="G67" s="2">
        <v>0.15</v>
      </c>
      <c r="H67" s="3">
        <v>45487</v>
      </c>
      <c r="I67" s="2">
        <v>307.82</v>
      </c>
      <c r="J67" s="24">
        <f t="shared" ref="J67:J130" ca="1" si="1">NOW()</f>
        <v>46309.874604861114</v>
      </c>
      <c r="K67" s="5"/>
    </row>
    <row r="68" spans="1:11" ht="15.75" hidden="1" thickBot="1" x14ac:dyDescent="0.3">
      <c r="A68" s="1" t="s">
        <v>65</v>
      </c>
      <c r="B68" s="1" t="s">
        <v>31</v>
      </c>
      <c r="C68" s="1" t="s">
        <v>20</v>
      </c>
      <c r="D68" s="1" t="s">
        <v>12</v>
      </c>
      <c r="E68" s="2">
        <v>876.44</v>
      </c>
      <c r="F68" s="2">
        <v>12</v>
      </c>
      <c r="G68" s="2">
        <v>0.05</v>
      </c>
      <c r="H68" s="3">
        <v>45488</v>
      </c>
      <c r="I68" s="2">
        <v>333.05</v>
      </c>
      <c r="J68" s="24">
        <f t="shared" ca="1" si="1"/>
        <v>46309.874604861114</v>
      </c>
      <c r="K68" s="5"/>
    </row>
    <row r="69" spans="1:11" ht="30.75" hidden="1" thickBot="1" x14ac:dyDescent="0.3">
      <c r="A69" s="1" t="s">
        <v>68</v>
      </c>
      <c r="B69" s="1" t="s">
        <v>55</v>
      </c>
      <c r="C69" s="1" t="s">
        <v>11</v>
      </c>
      <c r="D69" s="1" t="s">
        <v>27</v>
      </c>
      <c r="E69" s="2">
        <v>1371.34</v>
      </c>
      <c r="F69" s="2">
        <v>5</v>
      </c>
      <c r="G69" s="2">
        <v>0.05</v>
      </c>
      <c r="H69" s="3">
        <v>45488</v>
      </c>
      <c r="I69" s="2">
        <v>455.97</v>
      </c>
      <c r="J69" s="24">
        <f t="shared" ca="1" si="1"/>
        <v>46309.874604861114</v>
      </c>
      <c r="K69" s="6"/>
    </row>
    <row r="70" spans="1:11" ht="30.75" hidden="1" thickBot="1" x14ac:dyDescent="0.3">
      <c r="A70" s="1" t="s">
        <v>57</v>
      </c>
      <c r="B70" s="1" t="s">
        <v>47</v>
      </c>
      <c r="C70" s="1" t="s">
        <v>24</v>
      </c>
      <c r="D70" s="1" t="s">
        <v>21</v>
      </c>
      <c r="E70" s="2">
        <v>1020.26</v>
      </c>
      <c r="F70" s="2">
        <v>11</v>
      </c>
      <c r="G70" s="2">
        <v>0.05</v>
      </c>
      <c r="H70" s="3">
        <v>45494</v>
      </c>
      <c r="I70" s="2">
        <v>242.31</v>
      </c>
      <c r="J70" s="24">
        <f t="shared" ca="1" si="1"/>
        <v>46309.874604861114</v>
      </c>
      <c r="K70" s="5"/>
    </row>
    <row r="71" spans="1:11" ht="30.75" hidden="1" thickBot="1" x14ac:dyDescent="0.3">
      <c r="A71" s="1" t="s">
        <v>44</v>
      </c>
      <c r="B71" s="1" t="s">
        <v>10</v>
      </c>
      <c r="C71" s="1" t="s">
        <v>34</v>
      </c>
      <c r="D71" s="1" t="s">
        <v>39</v>
      </c>
      <c r="E71" s="2">
        <v>804.81</v>
      </c>
      <c r="F71" s="2">
        <v>1</v>
      </c>
      <c r="G71" s="2">
        <v>0.05</v>
      </c>
      <c r="H71" s="3">
        <v>45502</v>
      </c>
      <c r="I71" s="2">
        <v>344.06</v>
      </c>
      <c r="J71" s="24">
        <f t="shared" ca="1" si="1"/>
        <v>46309.874604861114</v>
      </c>
      <c r="K71" s="5"/>
    </row>
    <row r="72" spans="1:11" ht="30.75" hidden="1" thickBot="1" x14ac:dyDescent="0.3">
      <c r="A72" s="1" t="s">
        <v>22</v>
      </c>
      <c r="B72" s="1" t="s">
        <v>55</v>
      </c>
      <c r="C72" s="1" t="s">
        <v>34</v>
      </c>
      <c r="D72" s="1" t="s">
        <v>21</v>
      </c>
      <c r="E72" s="2">
        <v>608.66</v>
      </c>
      <c r="F72" s="2">
        <v>1</v>
      </c>
      <c r="G72" s="2">
        <v>0.05</v>
      </c>
      <c r="H72" s="3">
        <v>45503</v>
      </c>
      <c r="I72" s="2">
        <v>144.56</v>
      </c>
      <c r="J72" s="24">
        <f t="shared" ca="1" si="1"/>
        <v>46309.874604861114</v>
      </c>
      <c r="K72" s="5"/>
    </row>
    <row r="73" spans="1:11" ht="30.75" hidden="1" thickBot="1" x14ac:dyDescent="0.3">
      <c r="A73" s="1" t="s">
        <v>68</v>
      </c>
      <c r="B73" s="1" t="s">
        <v>69</v>
      </c>
      <c r="C73" s="1" t="s">
        <v>20</v>
      </c>
      <c r="D73" s="1" t="s">
        <v>39</v>
      </c>
      <c r="E73" s="2">
        <v>981.2</v>
      </c>
      <c r="F73" s="2">
        <v>19</v>
      </c>
      <c r="G73" s="2">
        <v>0</v>
      </c>
      <c r="H73" s="3">
        <v>45504</v>
      </c>
      <c r="I73" s="2">
        <v>441.54</v>
      </c>
      <c r="J73" s="24">
        <f t="shared" ca="1" si="1"/>
        <v>46309.874604861114</v>
      </c>
      <c r="K73" s="6"/>
    </row>
    <row r="74" spans="1:11" ht="30.75" hidden="1" thickBot="1" x14ac:dyDescent="0.3">
      <c r="A74" s="1" t="s">
        <v>70</v>
      </c>
      <c r="B74" s="1" t="s">
        <v>55</v>
      </c>
      <c r="C74" s="1" t="s">
        <v>18</v>
      </c>
      <c r="D74" s="1" t="s">
        <v>21</v>
      </c>
      <c r="E74" s="2">
        <v>539.77</v>
      </c>
      <c r="F74" s="2">
        <v>10</v>
      </c>
      <c r="G74" s="2">
        <v>0.15</v>
      </c>
      <c r="H74" s="3">
        <v>45509</v>
      </c>
      <c r="I74" s="2">
        <v>114.7</v>
      </c>
      <c r="J74" s="24">
        <f t="shared" ca="1" si="1"/>
        <v>46309.874604861114</v>
      </c>
      <c r="K74" s="5"/>
    </row>
    <row r="75" spans="1:11" ht="15.75" hidden="1" thickBot="1" x14ac:dyDescent="0.3">
      <c r="A75" s="1" t="s">
        <v>13</v>
      </c>
      <c r="B75" s="1" t="s">
        <v>71</v>
      </c>
      <c r="C75" s="1" t="s">
        <v>20</v>
      </c>
      <c r="D75" s="1" t="s">
        <v>12</v>
      </c>
      <c r="E75" s="2">
        <v>804.45</v>
      </c>
      <c r="F75" s="2">
        <v>5</v>
      </c>
      <c r="G75" s="2">
        <v>0.2</v>
      </c>
      <c r="H75" s="3">
        <v>45509</v>
      </c>
      <c r="I75" s="2">
        <v>257.42</v>
      </c>
      <c r="J75" s="24">
        <f t="shared" ca="1" si="1"/>
        <v>46309.874604861114</v>
      </c>
      <c r="K75" s="5"/>
    </row>
    <row r="76" spans="1:11" ht="30.75" thickBot="1" x14ac:dyDescent="0.3">
      <c r="A76" s="1" t="s">
        <v>70</v>
      </c>
      <c r="B76" s="1" t="s">
        <v>38</v>
      </c>
      <c r="C76" s="1" t="s">
        <v>11</v>
      </c>
      <c r="D76" s="1" t="s">
        <v>21</v>
      </c>
      <c r="E76" s="2">
        <v>1526.6</v>
      </c>
      <c r="F76" s="2">
        <v>13</v>
      </c>
      <c r="G76" s="2">
        <v>0.2</v>
      </c>
      <c r="H76" s="3">
        <v>45512</v>
      </c>
      <c r="I76" s="2">
        <v>305.32</v>
      </c>
      <c r="J76" s="24">
        <f t="shared" ca="1" si="1"/>
        <v>46309.874604861114</v>
      </c>
      <c r="K76" s="5"/>
    </row>
    <row r="77" spans="1:11" ht="30.75" hidden="1" thickBot="1" x14ac:dyDescent="0.3">
      <c r="A77" s="1" t="s">
        <v>13</v>
      </c>
      <c r="B77" s="1" t="s">
        <v>29</v>
      </c>
      <c r="C77" s="1" t="s">
        <v>11</v>
      </c>
      <c r="D77" s="1" t="s">
        <v>21</v>
      </c>
      <c r="E77" s="2">
        <v>1215.26</v>
      </c>
      <c r="F77" s="2">
        <v>5</v>
      </c>
      <c r="G77" s="2">
        <v>0.15</v>
      </c>
      <c r="H77" s="3">
        <v>45513</v>
      </c>
      <c r="I77" s="2">
        <v>258.24</v>
      </c>
      <c r="J77" s="24">
        <f t="shared" ca="1" si="1"/>
        <v>46309.874604861114</v>
      </c>
      <c r="K77" s="6"/>
    </row>
    <row r="78" spans="1:11" ht="30.75" hidden="1" thickBot="1" x14ac:dyDescent="0.3">
      <c r="A78" s="1" t="s">
        <v>19</v>
      </c>
      <c r="B78" s="1" t="s">
        <v>53</v>
      </c>
      <c r="C78" s="1" t="s">
        <v>34</v>
      </c>
      <c r="D78" s="1" t="s">
        <v>27</v>
      </c>
      <c r="E78" s="2">
        <v>1261.3399999999999</v>
      </c>
      <c r="F78" s="2">
        <v>3</v>
      </c>
      <c r="G78" s="2">
        <v>0</v>
      </c>
      <c r="H78" s="3">
        <v>45519</v>
      </c>
      <c r="I78" s="2">
        <v>441.47</v>
      </c>
      <c r="J78" s="24">
        <f t="shared" ca="1" si="1"/>
        <v>46309.874604861114</v>
      </c>
      <c r="K78" s="5"/>
    </row>
    <row r="79" spans="1:11" ht="30.75" hidden="1" thickBot="1" x14ac:dyDescent="0.3">
      <c r="A79" s="1" t="s">
        <v>72</v>
      </c>
      <c r="B79" s="1" t="s">
        <v>45</v>
      </c>
      <c r="C79" s="1" t="s">
        <v>24</v>
      </c>
      <c r="D79" s="1" t="s">
        <v>27</v>
      </c>
      <c r="E79" s="2">
        <v>518.07000000000005</v>
      </c>
      <c r="F79" s="2">
        <v>7</v>
      </c>
      <c r="G79" s="2">
        <v>0.05</v>
      </c>
      <c r="H79" s="3">
        <v>45522</v>
      </c>
      <c r="I79" s="2">
        <v>172.26</v>
      </c>
      <c r="J79" s="24">
        <f t="shared" ca="1" si="1"/>
        <v>46309.874604861114</v>
      </c>
      <c r="K79" s="5"/>
    </row>
    <row r="80" spans="1:11" ht="30.75" hidden="1" thickBot="1" x14ac:dyDescent="0.3">
      <c r="A80" s="1" t="s">
        <v>30</v>
      </c>
      <c r="B80" s="1" t="s">
        <v>29</v>
      </c>
      <c r="C80" s="1" t="s">
        <v>11</v>
      </c>
      <c r="D80" s="1" t="s">
        <v>39</v>
      </c>
      <c r="E80" s="2">
        <v>1111.3399999999999</v>
      </c>
      <c r="F80" s="2">
        <v>1</v>
      </c>
      <c r="G80" s="2">
        <v>0</v>
      </c>
      <c r="H80" s="3">
        <v>45523</v>
      </c>
      <c r="I80" s="2">
        <v>500.1</v>
      </c>
      <c r="J80" s="24">
        <f t="shared" ca="1" si="1"/>
        <v>46309.874604861114</v>
      </c>
      <c r="K80" s="5"/>
    </row>
    <row r="81" spans="1:11" ht="15.75" hidden="1" thickBot="1" x14ac:dyDescent="0.3">
      <c r="A81" s="1" t="s">
        <v>22</v>
      </c>
      <c r="B81" s="1" t="s">
        <v>31</v>
      </c>
      <c r="C81" s="1" t="s">
        <v>18</v>
      </c>
      <c r="D81" s="1" t="s">
        <v>15</v>
      </c>
      <c r="E81" s="2">
        <v>1291.47</v>
      </c>
      <c r="F81" s="2">
        <v>18</v>
      </c>
      <c r="G81" s="2">
        <v>0.1</v>
      </c>
      <c r="H81" s="3">
        <v>45526</v>
      </c>
      <c r="I81" s="2">
        <v>581.16</v>
      </c>
      <c r="J81" s="24">
        <f t="shared" ca="1" si="1"/>
        <v>46309.874604861114</v>
      </c>
      <c r="K81" s="6"/>
    </row>
    <row r="82" spans="1:11" ht="15.75" hidden="1" thickBot="1" x14ac:dyDescent="0.3">
      <c r="A82" s="1" t="s">
        <v>25</v>
      </c>
      <c r="B82" s="1" t="s">
        <v>55</v>
      </c>
      <c r="C82" s="1" t="s">
        <v>24</v>
      </c>
      <c r="D82" s="1" t="s">
        <v>12</v>
      </c>
      <c r="E82" s="2">
        <v>679.71</v>
      </c>
      <c r="F82" s="2">
        <v>19</v>
      </c>
      <c r="G82" s="2">
        <v>0</v>
      </c>
      <c r="H82" s="3">
        <v>45534</v>
      </c>
      <c r="I82" s="2">
        <v>271.88</v>
      </c>
      <c r="J82" s="24">
        <f t="shared" ca="1" si="1"/>
        <v>46309.874604861114</v>
      </c>
      <c r="K82" s="5"/>
    </row>
    <row r="83" spans="1:11" ht="30.75" hidden="1" thickBot="1" x14ac:dyDescent="0.3">
      <c r="A83" s="1" t="s">
        <v>68</v>
      </c>
      <c r="B83" s="1" t="s">
        <v>33</v>
      </c>
      <c r="C83" s="1" t="s">
        <v>18</v>
      </c>
      <c r="D83" s="1" t="s">
        <v>27</v>
      </c>
      <c r="E83" s="2">
        <v>1143.69</v>
      </c>
      <c r="F83" s="2">
        <v>17</v>
      </c>
      <c r="G83" s="2">
        <v>0</v>
      </c>
      <c r="H83" s="3">
        <v>45534</v>
      </c>
      <c r="I83" s="2">
        <v>400.29</v>
      </c>
      <c r="J83" s="24">
        <f t="shared" ca="1" si="1"/>
        <v>46309.874604861114</v>
      </c>
      <c r="K83" s="5"/>
    </row>
    <row r="84" spans="1:11" ht="30.75" hidden="1" thickBot="1" x14ac:dyDescent="0.3">
      <c r="A84" s="1" t="s">
        <v>52</v>
      </c>
      <c r="B84" s="1" t="s">
        <v>50</v>
      </c>
      <c r="C84" s="1" t="s">
        <v>34</v>
      </c>
      <c r="D84" s="1" t="s">
        <v>21</v>
      </c>
      <c r="E84" s="2">
        <v>790.08</v>
      </c>
      <c r="F84" s="2">
        <v>7</v>
      </c>
      <c r="G84" s="2">
        <v>0.1</v>
      </c>
      <c r="H84" s="3">
        <v>45536</v>
      </c>
      <c r="I84" s="2">
        <v>177.77</v>
      </c>
      <c r="J84" s="24">
        <f t="shared" ca="1" si="1"/>
        <v>46309.874604861114</v>
      </c>
      <c r="K84" s="5"/>
    </row>
    <row r="85" spans="1:11" ht="15.75" hidden="1" thickBot="1" x14ac:dyDescent="0.3">
      <c r="A85" s="1" t="s">
        <v>19</v>
      </c>
      <c r="B85" s="1" t="s">
        <v>48</v>
      </c>
      <c r="C85" s="1" t="s">
        <v>34</v>
      </c>
      <c r="D85" s="1" t="s">
        <v>12</v>
      </c>
      <c r="E85" s="2">
        <v>1070.68</v>
      </c>
      <c r="F85" s="2">
        <v>7</v>
      </c>
      <c r="G85" s="2">
        <v>0.05</v>
      </c>
      <c r="H85" s="3">
        <v>45536</v>
      </c>
      <c r="I85" s="2">
        <v>406.86</v>
      </c>
      <c r="J85" s="24">
        <f t="shared" ca="1" si="1"/>
        <v>46309.874604861114</v>
      </c>
      <c r="K85" s="6"/>
    </row>
    <row r="86" spans="1:11" ht="15.75" hidden="1" thickBot="1" x14ac:dyDescent="0.3">
      <c r="A86" s="1" t="s">
        <v>58</v>
      </c>
      <c r="B86" s="1" t="s">
        <v>36</v>
      </c>
      <c r="C86" s="1" t="s">
        <v>11</v>
      </c>
      <c r="D86" s="1" t="s">
        <v>15</v>
      </c>
      <c r="E86" s="2">
        <v>1168.8900000000001</v>
      </c>
      <c r="F86" s="2">
        <v>4</v>
      </c>
      <c r="G86" s="2">
        <v>0.1</v>
      </c>
      <c r="H86" s="3">
        <v>45544</v>
      </c>
      <c r="I86" s="2">
        <v>526</v>
      </c>
      <c r="J86" s="24">
        <f t="shared" ca="1" si="1"/>
        <v>46309.874604861114</v>
      </c>
      <c r="K86" s="5"/>
    </row>
    <row r="87" spans="1:11" ht="30.75" hidden="1" thickBot="1" x14ac:dyDescent="0.3">
      <c r="A87" s="1" t="s">
        <v>67</v>
      </c>
      <c r="B87" s="1" t="s">
        <v>10</v>
      </c>
      <c r="C87" s="1" t="s">
        <v>20</v>
      </c>
      <c r="D87" s="1" t="s">
        <v>21</v>
      </c>
      <c r="E87" s="2">
        <v>1335.87</v>
      </c>
      <c r="F87" s="2">
        <v>17</v>
      </c>
      <c r="G87" s="2">
        <v>0</v>
      </c>
      <c r="H87" s="3">
        <v>45544</v>
      </c>
      <c r="I87" s="2">
        <v>333.97</v>
      </c>
      <c r="J87" s="24">
        <f t="shared" ca="1" si="1"/>
        <v>46309.874604861114</v>
      </c>
      <c r="K87" s="5"/>
    </row>
    <row r="88" spans="1:11" ht="30.75" hidden="1" thickBot="1" x14ac:dyDescent="0.3">
      <c r="A88" s="1" t="s">
        <v>40</v>
      </c>
      <c r="B88" s="1" t="s">
        <v>55</v>
      </c>
      <c r="C88" s="1" t="s">
        <v>18</v>
      </c>
      <c r="D88" s="1" t="s">
        <v>27</v>
      </c>
      <c r="E88" s="2">
        <v>873.7</v>
      </c>
      <c r="F88" s="2">
        <v>9</v>
      </c>
      <c r="G88" s="2">
        <v>0</v>
      </c>
      <c r="H88" s="3">
        <v>45546</v>
      </c>
      <c r="I88" s="2">
        <v>305.8</v>
      </c>
      <c r="J88" s="24">
        <f t="shared" ca="1" si="1"/>
        <v>46309.874604861114</v>
      </c>
      <c r="K88" s="5"/>
    </row>
    <row r="89" spans="1:11" ht="30.75" hidden="1" thickBot="1" x14ac:dyDescent="0.3">
      <c r="A89" s="1" t="s">
        <v>72</v>
      </c>
      <c r="B89" s="1" t="s">
        <v>64</v>
      </c>
      <c r="C89" s="1" t="s">
        <v>11</v>
      </c>
      <c r="D89" s="1" t="s">
        <v>39</v>
      </c>
      <c r="E89" s="2">
        <v>1443.98</v>
      </c>
      <c r="F89" s="2">
        <v>19</v>
      </c>
      <c r="G89" s="2">
        <v>0</v>
      </c>
      <c r="H89" s="3">
        <v>45547</v>
      </c>
      <c r="I89" s="2">
        <v>649.79</v>
      </c>
      <c r="J89" s="24">
        <f t="shared" ca="1" si="1"/>
        <v>46309.874604861114</v>
      </c>
      <c r="K89" s="6"/>
    </row>
    <row r="90" spans="1:11" ht="30.75" hidden="1" thickBot="1" x14ac:dyDescent="0.3">
      <c r="A90" s="1" t="s">
        <v>40</v>
      </c>
      <c r="B90" s="1" t="s">
        <v>23</v>
      </c>
      <c r="C90" s="1" t="s">
        <v>18</v>
      </c>
      <c r="D90" s="1" t="s">
        <v>39</v>
      </c>
      <c r="E90" s="2">
        <v>1154.33</v>
      </c>
      <c r="F90" s="2">
        <v>11</v>
      </c>
      <c r="G90" s="2">
        <v>0.15</v>
      </c>
      <c r="H90" s="3">
        <v>45549</v>
      </c>
      <c r="I90" s="2">
        <v>441.53</v>
      </c>
      <c r="J90" s="24">
        <f t="shared" ca="1" si="1"/>
        <v>46309.874604861114</v>
      </c>
      <c r="K90" s="5"/>
    </row>
    <row r="91" spans="1:11" ht="15.75" hidden="1" thickBot="1" x14ac:dyDescent="0.3">
      <c r="A91" s="1" t="s">
        <v>49</v>
      </c>
      <c r="B91" s="1" t="s">
        <v>50</v>
      </c>
      <c r="C91" s="1" t="s">
        <v>20</v>
      </c>
      <c r="D91" s="1" t="s">
        <v>12</v>
      </c>
      <c r="E91" s="2">
        <v>1264.49</v>
      </c>
      <c r="F91" s="2">
        <v>16</v>
      </c>
      <c r="G91" s="2">
        <v>0.05</v>
      </c>
      <c r="H91" s="3">
        <v>45549</v>
      </c>
      <c r="I91" s="2">
        <v>480.51</v>
      </c>
      <c r="J91" s="24">
        <f t="shared" ca="1" si="1"/>
        <v>46309.874604861114</v>
      </c>
      <c r="K91" s="5"/>
    </row>
    <row r="92" spans="1:11" ht="30.75" hidden="1" thickBot="1" x14ac:dyDescent="0.3">
      <c r="A92" s="1" t="s">
        <v>25</v>
      </c>
      <c r="B92" s="1" t="s">
        <v>66</v>
      </c>
      <c r="C92" s="1" t="s">
        <v>11</v>
      </c>
      <c r="D92" s="1" t="s">
        <v>27</v>
      </c>
      <c r="E92" s="2">
        <v>1101.55</v>
      </c>
      <c r="F92" s="2">
        <v>4</v>
      </c>
      <c r="G92" s="2">
        <v>0.1</v>
      </c>
      <c r="H92" s="3">
        <v>45551</v>
      </c>
      <c r="I92" s="2">
        <v>346.99</v>
      </c>
      <c r="J92" s="24">
        <f t="shared" ca="1" si="1"/>
        <v>46309.874604861114</v>
      </c>
      <c r="K92" s="5"/>
    </row>
    <row r="93" spans="1:11" ht="30.75" hidden="1" thickBot="1" x14ac:dyDescent="0.3">
      <c r="A93" s="1" t="s">
        <v>73</v>
      </c>
      <c r="B93" s="1" t="s">
        <v>14</v>
      </c>
      <c r="C93" s="1" t="s">
        <v>20</v>
      </c>
      <c r="D93" s="1" t="s">
        <v>27</v>
      </c>
      <c r="E93" s="2">
        <v>727.73</v>
      </c>
      <c r="F93" s="2">
        <v>1</v>
      </c>
      <c r="G93" s="2">
        <v>0.1</v>
      </c>
      <c r="H93" s="3">
        <v>45552</v>
      </c>
      <c r="I93" s="2">
        <v>229.23</v>
      </c>
      <c r="J93" s="24">
        <f t="shared" ca="1" si="1"/>
        <v>46309.874604861114</v>
      </c>
      <c r="K93" s="6"/>
    </row>
    <row r="94" spans="1:11" ht="30.75" hidden="1" thickBot="1" x14ac:dyDescent="0.3">
      <c r="A94" s="1" t="s">
        <v>74</v>
      </c>
      <c r="B94" s="1" t="s">
        <v>38</v>
      </c>
      <c r="C94" s="1" t="s">
        <v>18</v>
      </c>
      <c r="D94" s="1" t="s">
        <v>39</v>
      </c>
      <c r="E94" s="2">
        <v>875.41</v>
      </c>
      <c r="F94" s="2">
        <v>13</v>
      </c>
      <c r="G94" s="2">
        <v>0.15</v>
      </c>
      <c r="H94" s="3">
        <v>45552</v>
      </c>
      <c r="I94" s="2">
        <v>334.84</v>
      </c>
      <c r="J94" s="24">
        <f t="shared" ca="1" si="1"/>
        <v>46309.874604861114</v>
      </c>
      <c r="K94" s="5"/>
    </row>
    <row r="95" spans="1:11" ht="30.75" hidden="1" thickBot="1" x14ac:dyDescent="0.3">
      <c r="A95" s="1" t="s">
        <v>67</v>
      </c>
      <c r="B95" s="1" t="s">
        <v>23</v>
      </c>
      <c r="C95" s="1" t="s">
        <v>11</v>
      </c>
      <c r="D95" s="1" t="s">
        <v>21</v>
      </c>
      <c r="E95" s="2">
        <v>1158.94</v>
      </c>
      <c r="F95" s="2">
        <v>19</v>
      </c>
      <c r="G95" s="2">
        <v>0.2</v>
      </c>
      <c r="H95" s="3">
        <v>45553</v>
      </c>
      <c r="I95" s="2">
        <v>231.79</v>
      </c>
      <c r="J95" s="24">
        <f t="shared" ca="1" si="1"/>
        <v>46309.874604861114</v>
      </c>
      <c r="K95" s="5"/>
    </row>
    <row r="96" spans="1:11" ht="15.75" hidden="1" thickBot="1" x14ac:dyDescent="0.3">
      <c r="A96" s="1" t="s">
        <v>75</v>
      </c>
      <c r="B96" s="1" t="s">
        <v>47</v>
      </c>
      <c r="C96" s="1" t="s">
        <v>20</v>
      </c>
      <c r="D96" s="1" t="s">
        <v>12</v>
      </c>
      <c r="E96" s="2">
        <v>966.3</v>
      </c>
      <c r="F96" s="2">
        <v>2</v>
      </c>
      <c r="G96" s="2">
        <v>0.15</v>
      </c>
      <c r="H96" s="3">
        <v>45557</v>
      </c>
      <c r="I96" s="2">
        <v>328.54</v>
      </c>
      <c r="J96" s="24">
        <f t="shared" ca="1" si="1"/>
        <v>46309.874604861114</v>
      </c>
      <c r="K96" s="5"/>
    </row>
    <row r="97" spans="1:11" ht="15.75" hidden="1" thickBot="1" x14ac:dyDescent="0.3">
      <c r="A97" s="1" t="s">
        <v>68</v>
      </c>
      <c r="B97" s="1" t="s">
        <v>17</v>
      </c>
      <c r="C97" s="1" t="s">
        <v>20</v>
      </c>
      <c r="D97" s="1" t="s">
        <v>12</v>
      </c>
      <c r="E97" s="2">
        <v>917.48</v>
      </c>
      <c r="F97" s="2">
        <v>6</v>
      </c>
      <c r="G97" s="2">
        <v>0</v>
      </c>
      <c r="H97" s="3">
        <v>45558</v>
      </c>
      <c r="I97" s="2">
        <v>366.99</v>
      </c>
      <c r="J97" s="24">
        <f t="shared" ca="1" si="1"/>
        <v>46309.874604861114</v>
      </c>
      <c r="K97" s="6"/>
    </row>
    <row r="98" spans="1:11" ht="30.75" hidden="1" thickBot="1" x14ac:dyDescent="0.3">
      <c r="A98" s="1" t="s">
        <v>41</v>
      </c>
      <c r="B98" s="1" t="s">
        <v>61</v>
      </c>
      <c r="C98" s="1" t="s">
        <v>11</v>
      </c>
      <c r="D98" s="1" t="s">
        <v>27</v>
      </c>
      <c r="E98" s="2">
        <v>1172.97</v>
      </c>
      <c r="F98" s="2">
        <v>7</v>
      </c>
      <c r="G98" s="2">
        <v>0.15</v>
      </c>
      <c r="H98" s="3">
        <v>45559</v>
      </c>
      <c r="I98" s="2">
        <v>348.96</v>
      </c>
      <c r="J98" s="24">
        <f t="shared" ca="1" si="1"/>
        <v>46309.874604861114</v>
      </c>
      <c r="K98" s="5"/>
    </row>
    <row r="99" spans="1:11" ht="15.75" hidden="1" thickBot="1" x14ac:dyDescent="0.3">
      <c r="A99" s="1" t="s">
        <v>57</v>
      </c>
      <c r="B99" s="1" t="s">
        <v>23</v>
      </c>
      <c r="C99" s="1" t="s">
        <v>24</v>
      </c>
      <c r="D99" s="1" t="s">
        <v>15</v>
      </c>
      <c r="E99" s="2">
        <v>1205.82</v>
      </c>
      <c r="F99" s="2">
        <v>11</v>
      </c>
      <c r="G99" s="2">
        <v>0.1</v>
      </c>
      <c r="H99" s="3">
        <v>45559</v>
      </c>
      <c r="I99" s="2">
        <v>542.62</v>
      </c>
      <c r="J99" s="24">
        <f t="shared" ca="1" si="1"/>
        <v>46309.874604861114</v>
      </c>
      <c r="K99" s="5"/>
    </row>
    <row r="100" spans="1:11" ht="30.75" hidden="1" thickBot="1" x14ac:dyDescent="0.3">
      <c r="A100" s="1" t="s">
        <v>16</v>
      </c>
      <c r="B100" s="1" t="s">
        <v>64</v>
      </c>
      <c r="C100" s="1" t="s">
        <v>11</v>
      </c>
      <c r="D100" s="1" t="s">
        <v>39</v>
      </c>
      <c r="E100" s="2">
        <v>826.93</v>
      </c>
      <c r="F100" s="2">
        <v>10</v>
      </c>
      <c r="G100" s="2">
        <v>0.2</v>
      </c>
      <c r="H100" s="3">
        <v>45564</v>
      </c>
      <c r="I100" s="2">
        <v>297.69</v>
      </c>
      <c r="J100" s="24">
        <f t="shared" ca="1" si="1"/>
        <v>46309.874604861114</v>
      </c>
      <c r="K100" s="5"/>
    </row>
    <row r="101" spans="1:11" ht="15.75" hidden="1" thickBot="1" x14ac:dyDescent="0.3">
      <c r="A101" s="1" t="s">
        <v>67</v>
      </c>
      <c r="B101" s="1" t="s">
        <v>23</v>
      </c>
      <c r="C101" s="1" t="s">
        <v>34</v>
      </c>
      <c r="D101" s="1" t="s">
        <v>15</v>
      </c>
      <c r="E101" s="2">
        <v>902.19</v>
      </c>
      <c r="F101" s="2">
        <v>12</v>
      </c>
      <c r="G101" s="2">
        <v>0</v>
      </c>
      <c r="H101" s="3">
        <v>45564</v>
      </c>
      <c r="I101" s="2">
        <v>451.1</v>
      </c>
      <c r="J101" s="24">
        <f t="shared" ca="1" si="1"/>
        <v>46309.874604861114</v>
      </c>
      <c r="K101" s="6"/>
    </row>
    <row r="102" spans="1:11" ht="15.75" hidden="1" thickBot="1" x14ac:dyDescent="0.3">
      <c r="A102" s="1" t="s">
        <v>74</v>
      </c>
      <c r="B102" s="1" t="s">
        <v>38</v>
      </c>
      <c r="C102" s="1" t="s">
        <v>24</v>
      </c>
      <c r="D102" s="1" t="s">
        <v>12</v>
      </c>
      <c r="E102" s="2">
        <v>585.97</v>
      </c>
      <c r="F102" s="2">
        <v>17</v>
      </c>
      <c r="G102" s="2">
        <v>0.1</v>
      </c>
      <c r="H102" s="3">
        <v>45565</v>
      </c>
      <c r="I102" s="2">
        <v>210.95</v>
      </c>
      <c r="J102" s="24">
        <f t="shared" ca="1" si="1"/>
        <v>46309.874604861114</v>
      </c>
      <c r="K102" s="5"/>
    </row>
    <row r="103" spans="1:11" ht="15.75" hidden="1" thickBot="1" x14ac:dyDescent="0.3">
      <c r="A103" s="1" t="s">
        <v>60</v>
      </c>
      <c r="B103" s="1" t="s">
        <v>26</v>
      </c>
      <c r="C103" s="1" t="s">
        <v>24</v>
      </c>
      <c r="D103" s="1" t="s">
        <v>15</v>
      </c>
      <c r="E103" s="2">
        <v>990.19</v>
      </c>
      <c r="F103" s="2">
        <v>8</v>
      </c>
      <c r="G103" s="2">
        <v>0.1</v>
      </c>
      <c r="H103" s="3">
        <v>45565</v>
      </c>
      <c r="I103" s="2">
        <v>445.59</v>
      </c>
      <c r="J103" s="24">
        <f t="shared" ca="1" si="1"/>
        <v>46309.874604861114</v>
      </c>
      <c r="K103" s="5"/>
    </row>
    <row r="104" spans="1:11" ht="30.75" hidden="1" thickBot="1" x14ac:dyDescent="0.3">
      <c r="A104" s="1" t="s">
        <v>44</v>
      </c>
      <c r="B104" s="1" t="s">
        <v>56</v>
      </c>
      <c r="C104" s="1" t="s">
        <v>34</v>
      </c>
      <c r="D104" s="1" t="s">
        <v>21</v>
      </c>
      <c r="E104" s="2">
        <v>1014.09</v>
      </c>
      <c r="F104" s="2">
        <v>13</v>
      </c>
      <c r="G104" s="2">
        <v>0.2</v>
      </c>
      <c r="H104" s="3">
        <v>45567</v>
      </c>
      <c r="I104" s="2">
        <v>202.82</v>
      </c>
      <c r="J104" s="24">
        <f t="shared" ca="1" si="1"/>
        <v>46309.874604861114</v>
      </c>
      <c r="K104" s="5"/>
    </row>
    <row r="105" spans="1:11" ht="30.75" hidden="1" thickBot="1" x14ac:dyDescent="0.3">
      <c r="A105" s="1" t="s">
        <v>13</v>
      </c>
      <c r="B105" s="1" t="s">
        <v>48</v>
      </c>
      <c r="C105" s="1" t="s">
        <v>24</v>
      </c>
      <c r="D105" s="1" t="s">
        <v>21</v>
      </c>
      <c r="E105" s="2">
        <v>925.29</v>
      </c>
      <c r="F105" s="2">
        <v>17</v>
      </c>
      <c r="G105" s="2">
        <v>0</v>
      </c>
      <c r="H105" s="3">
        <v>45570</v>
      </c>
      <c r="I105" s="2">
        <v>231.32</v>
      </c>
      <c r="J105" s="24">
        <f t="shared" ca="1" si="1"/>
        <v>46309.874604861114</v>
      </c>
      <c r="K105" s="6"/>
    </row>
    <row r="106" spans="1:11" ht="30.75" hidden="1" thickBot="1" x14ac:dyDescent="0.3">
      <c r="A106" s="1" t="s">
        <v>54</v>
      </c>
      <c r="B106" s="1" t="s">
        <v>47</v>
      </c>
      <c r="C106" s="1" t="s">
        <v>18</v>
      </c>
      <c r="D106" s="1" t="s">
        <v>27</v>
      </c>
      <c r="E106" s="2">
        <v>1286.54</v>
      </c>
      <c r="F106" s="2">
        <v>8</v>
      </c>
      <c r="G106" s="2">
        <v>0</v>
      </c>
      <c r="H106" s="3">
        <v>45575</v>
      </c>
      <c r="I106" s="2">
        <v>450.29</v>
      </c>
      <c r="J106" s="24">
        <f t="shared" ca="1" si="1"/>
        <v>46309.874604861114</v>
      </c>
      <c r="K106" s="5"/>
    </row>
    <row r="107" spans="1:11" ht="15.75" hidden="1" thickBot="1" x14ac:dyDescent="0.3">
      <c r="A107" s="1" t="s">
        <v>37</v>
      </c>
      <c r="B107" s="1" t="s">
        <v>64</v>
      </c>
      <c r="C107" s="1" t="s">
        <v>20</v>
      </c>
      <c r="D107" s="1" t="s">
        <v>12</v>
      </c>
      <c r="E107" s="2">
        <v>961.62</v>
      </c>
      <c r="F107" s="2">
        <v>8</v>
      </c>
      <c r="G107" s="2">
        <v>0.2</v>
      </c>
      <c r="H107" s="3">
        <v>45577</v>
      </c>
      <c r="I107" s="2">
        <v>307.72000000000003</v>
      </c>
      <c r="J107" s="24">
        <f t="shared" ca="1" si="1"/>
        <v>46309.874604861114</v>
      </c>
      <c r="K107" s="5"/>
    </row>
    <row r="108" spans="1:11" ht="15.75" hidden="1" thickBot="1" x14ac:dyDescent="0.3">
      <c r="A108" s="1" t="s">
        <v>44</v>
      </c>
      <c r="B108" s="1" t="s">
        <v>23</v>
      </c>
      <c r="C108" s="1" t="s">
        <v>18</v>
      </c>
      <c r="D108" s="1" t="s">
        <v>12</v>
      </c>
      <c r="E108" s="2">
        <v>1081.1400000000001</v>
      </c>
      <c r="F108" s="2">
        <v>19</v>
      </c>
      <c r="G108" s="2">
        <v>0.15</v>
      </c>
      <c r="H108" s="3">
        <v>45577</v>
      </c>
      <c r="I108" s="2">
        <v>367.59</v>
      </c>
      <c r="J108" s="24">
        <f t="shared" ca="1" si="1"/>
        <v>46309.874604861114</v>
      </c>
      <c r="K108" s="5"/>
    </row>
    <row r="109" spans="1:11" ht="15.75" thickBot="1" x14ac:dyDescent="0.3">
      <c r="A109" s="1" t="s">
        <v>58</v>
      </c>
      <c r="B109" s="1" t="s">
        <v>23</v>
      </c>
      <c r="C109" s="1" t="s">
        <v>11</v>
      </c>
      <c r="D109" s="1" t="s">
        <v>15</v>
      </c>
      <c r="E109" s="2">
        <v>1923.66</v>
      </c>
      <c r="F109" s="2">
        <v>9</v>
      </c>
      <c r="G109" s="2">
        <v>0.2</v>
      </c>
      <c r="H109" s="3">
        <v>45580</v>
      </c>
      <c r="I109" s="2">
        <v>769.46</v>
      </c>
      <c r="J109" s="24">
        <f t="shared" ca="1" si="1"/>
        <v>46309.874604861114</v>
      </c>
      <c r="K109" s="6"/>
    </row>
    <row r="110" spans="1:11" ht="15.75" hidden="1" thickBot="1" x14ac:dyDescent="0.3">
      <c r="A110" s="1" t="s">
        <v>54</v>
      </c>
      <c r="B110" s="1" t="s">
        <v>66</v>
      </c>
      <c r="C110" s="1" t="s">
        <v>34</v>
      </c>
      <c r="D110" s="1" t="s">
        <v>15</v>
      </c>
      <c r="E110" s="2">
        <v>728.71</v>
      </c>
      <c r="F110" s="2">
        <v>14</v>
      </c>
      <c r="G110" s="2">
        <v>0.1</v>
      </c>
      <c r="H110" s="3">
        <v>45581</v>
      </c>
      <c r="I110" s="2">
        <v>327.92</v>
      </c>
      <c r="J110" s="24">
        <f t="shared" ca="1" si="1"/>
        <v>46309.874604861114</v>
      </c>
      <c r="K110" s="5"/>
    </row>
    <row r="111" spans="1:11" ht="15.75" hidden="1" thickBot="1" x14ac:dyDescent="0.3">
      <c r="A111" s="1" t="s">
        <v>9</v>
      </c>
      <c r="B111" s="1" t="s">
        <v>33</v>
      </c>
      <c r="C111" s="1" t="s">
        <v>34</v>
      </c>
      <c r="D111" s="1" t="s">
        <v>15</v>
      </c>
      <c r="E111" s="2">
        <v>1301.8900000000001</v>
      </c>
      <c r="F111" s="2">
        <v>7</v>
      </c>
      <c r="G111" s="2">
        <v>0.15</v>
      </c>
      <c r="H111" s="3">
        <v>45581</v>
      </c>
      <c r="I111" s="2">
        <v>553.29999999999995</v>
      </c>
      <c r="J111" s="24">
        <f t="shared" ca="1" si="1"/>
        <v>46309.874604861114</v>
      </c>
      <c r="K111" s="5"/>
    </row>
    <row r="112" spans="1:11" ht="15.75" hidden="1" thickBot="1" x14ac:dyDescent="0.3">
      <c r="A112" s="1" t="s">
        <v>70</v>
      </c>
      <c r="B112" s="1" t="s">
        <v>66</v>
      </c>
      <c r="C112" s="1" t="s">
        <v>18</v>
      </c>
      <c r="D112" s="1" t="s">
        <v>12</v>
      </c>
      <c r="E112" s="2">
        <v>980.18</v>
      </c>
      <c r="F112" s="2">
        <v>16</v>
      </c>
      <c r="G112" s="2">
        <v>0.1</v>
      </c>
      <c r="H112" s="3">
        <v>45582</v>
      </c>
      <c r="I112" s="2">
        <v>352.86</v>
      </c>
      <c r="J112" s="24">
        <f t="shared" ca="1" si="1"/>
        <v>46309.874604861114</v>
      </c>
      <c r="K112" s="5"/>
    </row>
    <row r="113" spans="1:11" ht="15.75" hidden="1" thickBot="1" x14ac:dyDescent="0.3">
      <c r="A113" s="1" t="s">
        <v>74</v>
      </c>
      <c r="B113" s="1" t="s">
        <v>23</v>
      </c>
      <c r="C113" s="1" t="s">
        <v>11</v>
      </c>
      <c r="D113" s="1" t="s">
        <v>15</v>
      </c>
      <c r="E113" s="2">
        <v>697.57</v>
      </c>
      <c r="F113" s="2">
        <v>17</v>
      </c>
      <c r="G113" s="2">
        <v>0.1</v>
      </c>
      <c r="H113" s="3">
        <v>45584</v>
      </c>
      <c r="I113" s="2">
        <v>313.91000000000003</v>
      </c>
      <c r="J113" s="24">
        <f t="shared" ca="1" si="1"/>
        <v>46309.874604861114</v>
      </c>
      <c r="K113" s="6"/>
    </row>
    <row r="114" spans="1:11" ht="30.75" hidden="1" thickBot="1" x14ac:dyDescent="0.3">
      <c r="A114" s="1" t="s">
        <v>46</v>
      </c>
      <c r="B114" s="1" t="s">
        <v>71</v>
      </c>
      <c r="C114" s="1" t="s">
        <v>11</v>
      </c>
      <c r="D114" s="1" t="s">
        <v>27</v>
      </c>
      <c r="E114" s="2">
        <v>1193.6099999999999</v>
      </c>
      <c r="F114" s="2">
        <v>1</v>
      </c>
      <c r="G114" s="2">
        <v>0.15</v>
      </c>
      <c r="H114" s="3">
        <v>45584</v>
      </c>
      <c r="I114" s="2">
        <v>355.1</v>
      </c>
      <c r="J114" s="24">
        <f t="shared" ca="1" si="1"/>
        <v>46309.874604861114</v>
      </c>
      <c r="K114" s="5"/>
    </row>
    <row r="115" spans="1:11" ht="30.75" hidden="1" thickBot="1" x14ac:dyDescent="0.3">
      <c r="A115" s="1" t="s">
        <v>32</v>
      </c>
      <c r="B115" s="1" t="s">
        <v>38</v>
      </c>
      <c r="C115" s="1" t="s">
        <v>20</v>
      </c>
      <c r="D115" s="1" t="s">
        <v>21</v>
      </c>
      <c r="E115" s="2">
        <v>771.02</v>
      </c>
      <c r="F115" s="2">
        <v>1</v>
      </c>
      <c r="G115" s="2">
        <v>0</v>
      </c>
      <c r="H115" s="3">
        <v>45585</v>
      </c>
      <c r="I115" s="2">
        <v>192.76</v>
      </c>
      <c r="J115" s="24">
        <f t="shared" ca="1" si="1"/>
        <v>46309.874604861114</v>
      </c>
      <c r="K115" s="5"/>
    </row>
    <row r="116" spans="1:11" ht="15.75" hidden="1" thickBot="1" x14ac:dyDescent="0.3">
      <c r="A116" s="1" t="s">
        <v>67</v>
      </c>
      <c r="B116" s="1" t="s">
        <v>69</v>
      </c>
      <c r="C116" s="1" t="s">
        <v>24</v>
      </c>
      <c r="D116" s="1" t="s">
        <v>15</v>
      </c>
      <c r="E116" s="2">
        <v>661.09</v>
      </c>
      <c r="F116" s="2">
        <v>1</v>
      </c>
      <c r="G116" s="2">
        <v>0.2</v>
      </c>
      <c r="H116" s="3">
        <v>45593</v>
      </c>
      <c r="I116" s="2">
        <v>264.44</v>
      </c>
      <c r="J116" s="24">
        <f t="shared" ca="1" si="1"/>
        <v>46309.874604861114</v>
      </c>
      <c r="K116" s="5"/>
    </row>
    <row r="117" spans="1:11" ht="30.75" hidden="1" thickBot="1" x14ac:dyDescent="0.3">
      <c r="A117" s="1" t="s">
        <v>13</v>
      </c>
      <c r="B117" s="1" t="s">
        <v>55</v>
      </c>
      <c r="C117" s="1" t="s">
        <v>11</v>
      </c>
      <c r="D117" s="1" t="s">
        <v>21</v>
      </c>
      <c r="E117" s="2">
        <v>688.83</v>
      </c>
      <c r="F117" s="2">
        <v>15</v>
      </c>
      <c r="G117" s="2">
        <v>0</v>
      </c>
      <c r="H117" s="3">
        <v>45595</v>
      </c>
      <c r="I117" s="2">
        <v>172.21</v>
      </c>
      <c r="J117" s="24">
        <f t="shared" ca="1" si="1"/>
        <v>46309.874604861114</v>
      </c>
      <c r="K117" s="6"/>
    </row>
    <row r="118" spans="1:11" ht="15.75" hidden="1" thickBot="1" x14ac:dyDescent="0.3">
      <c r="A118" s="1" t="s">
        <v>73</v>
      </c>
      <c r="B118" s="1" t="s">
        <v>29</v>
      </c>
      <c r="C118" s="1" t="s">
        <v>34</v>
      </c>
      <c r="D118" s="1" t="s">
        <v>12</v>
      </c>
      <c r="E118" s="2">
        <v>1249.0999999999999</v>
      </c>
      <c r="F118" s="2">
        <v>4</v>
      </c>
      <c r="G118" s="2">
        <v>0.05</v>
      </c>
      <c r="H118" s="3">
        <v>45597</v>
      </c>
      <c r="I118" s="2">
        <v>474.66</v>
      </c>
      <c r="J118" s="24">
        <f t="shared" ca="1" si="1"/>
        <v>46309.874604861114</v>
      </c>
      <c r="K118" s="5"/>
    </row>
    <row r="119" spans="1:11" ht="30.75" hidden="1" thickBot="1" x14ac:dyDescent="0.3">
      <c r="A119" s="1" t="s">
        <v>44</v>
      </c>
      <c r="B119" s="1" t="s">
        <v>23</v>
      </c>
      <c r="C119" s="1" t="s">
        <v>18</v>
      </c>
      <c r="D119" s="1" t="s">
        <v>39</v>
      </c>
      <c r="E119" s="2">
        <v>1014.22</v>
      </c>
      <c r="F119" s="2">
        <v>14</v>
      </c>
      <c r="G119" s="2">
        <v>0.05</v>
      </c>
      <c r="H119" s="3">
        <v>45599</v>
      </c>
      <c r="I119" s="2">
        <v>433.58</v>
      </c>
      <c r="J119" s="24">
        <f t="shared" ca="1" si="1"/>
        <v>46309.874604861114</v>
      </c>
      <c r="K119" s="5"/>
    </row>
    <row r="120" spans="1:11" ht="15.75" hidden="1" thickBot="1" x14ac:dyDescent="0.3">
      <c r="A120" s="1" t="s">
        <v>54</v>
      </c>
      <c r="B120" s="1" t="s">
        <v>48</v>
      </c>
      <c r="C120" s="1" t="s">
        <v>18</v>
      </c>
      <c r="D120" s="1" t="s">
        <v>12</v>
      </c>
      <c r="E120" s="2">
        <v>1010.58</v>
      </c>
      <c r="F120" s="2">
        <v>2</v>
      </c>
      <c r="G120" s="2">
        <v>0.15</v>
      </c>
      <c r="H120" s="3">
        <v>45605</v>
      </c>
      <c r="I120" s="2">
        <v>343.6</v>
      </c>
      <c r="J120" s="24">
        <f t="shared" ca="1" si="1"/>
        <v>46309.874604861114</v>
      </c>
      <c r="K120" s="5"/>
    </row>
    <row r="121" spans="1:11" ht="30.75" hidden="1" thickBot="1" x14ac:dyDescent="0.3">
      <c r="A121" s="1" t="s">
        <v>30</v>
      </c>
      <c r="B121" s="1" t="s">
        <v>59</v>
      </c>
      <c r="C121" s="1" t="s">
        <v>24</v>
      </c>
      <c r="D121" s="1" t="s">
        <v>27</v>
      </c>
      <c r="E121" s="2">
        <v>957.29</v>
      </c>
      <c r="F121" s="2">
        <v>4</v>
      </c>
      <c r="G121" s="2">
        <v>0.05</v>
      </c>
      <c r="H121" s="3">
        <v>45605</v>
      </c>
      <c r="I121" s="2">
        <v>318.3</v>
      </c>
      <c r="J121" s="24">
        <f t="shared" ca="1" si="1"/>
        <v>46309.874604861114</v>
      </c>
      <c r="K121" s="6"/>
    </row>
    <row r="122" spans="1:11" ht="30.75" hidden="1" thickBot="1" x14ac:dyDescent="0.3">
      <c r="A122" s="1" t="s">
        <v>28</v>
      </c>
      <c r="B122" s="1" t="s">
        <v>45</v>
      </c>
      <c r="C122" s="1" t="s">
        <v>24</v>
      </c>
      <c r="D122" s="1" t="s">
        <v>27</v>
      </c>
      <c r="E122" s="2">
        <v>1077.92</v>
      </c>
      <c r="F122" s="2">
        <v>3</v>
      </c>
      <c r="G122" s="2">
        <v>0.05</v>
      </c>
      <c r="H122" s="3">
        <v>45608</v>
      </c>
      <c r="I122" s="2">
        <v>358.41</v>
      </c>
      <c r="J122" s="24">
        <f t="shared" ca="1" si="1"/>
        <v>46309.874604861114</v>
      </c>
      <c r="K122" s="5"/>
    </row>
    <row r="123" spans="1:11" ht="15.75" hidden="1" thickBot="1" x14ac:dyDescent="0.3">
      <c r="A123" s="1" t="s">
        <v>52</v>
      </c>
      <c r="B123" s="1" t="s">
        <v>50</v>
      </c>
      <c r="C123" s="1" t="s">
        <v>20</v>
      </c>
      <c r="D123" s="1" t="s">
        <v>15</v>
      </c>
      <c r="E123" s="2">
        <v>1163.01</v>
      </c>
      <c r="F123" s="2">
        <v>5</v>
      </c>
      <c r="G123" s="2">
        <v>0</v>
      </c>
      <c r="H123" s="3">
        <v>45611</v>
      </c>
      <c r="I123" s="2">
        <v>581.5</v>
      </c>
      <c r="J123" s="24">
        <f t="shared" ca="1" si="1"/>
        <v>46309.874604861114</v>
      </c>
      <c r="K123" s="5"/>
    </row>
    <row r="124" spans="1:11" ht="30.75" hidden="1" thickBot="1" x14ac:dyDescent="0.3">
      <c r="A124" s="1" t="s">
        <v>54</v>
      </c>
      <c r="B124" s="1" t="s">
        <v>45</v>
      </c>
      <c r="C124" s="1" t="s">
        <v>18</v>
      </c>
      <c r="D124" s="1" t="s">
        <v>39</v>
      </c>
      <c r="E124" s="2">
        <v>1014.56</v>
      </c>
      <c r="F124" s="2">
        <v>10</v>
      </c>
      <c r="G124" s="2">
        <v>0.1</v>
      </c>
      <c r="H124" s="3">
        <v>45612</v>
      </c>
      <c r="I124" s="2">
        <v>410.9</v>
      </c>
      <c r="J124" s="24">
        <f t="shared" ca="1" si="1"/>
        <v>46309.874604861114</v>
      </c>
      <c r="K124" s="5"/>
    </row>
    <row r="125" spans="1:11" ht="30.75" hidden="1" thickBot="1" x14ac:dyDescent="0.3">
      <c r="A125" s="1" t="s">
        <v>9</v>
      </c>
      <c r="B125" s="1" t="s">
        <v>17</v>
      </c>
      <c r="C125" s="1" t="s">
        <v>20</v>
      </c>
      <c r="D125" s="1" t="s">
        <v>21</v>
      </c>
      <c r="E125" s="2">
        <v>718.04</v>
      </c>
      <c r="F125" s="2">
        <v>14</v>
      </c>
      <c r="G125" s="2">
        <v>0</v>
      </c>
      <c r="H125" s="3">
        <v>45613</v>
      </c>
      <c r="I125" s="2">
        <v>179.51</v>
      </c>
      <c r="J125" s="24">
        <f t="shared" ca="1" si="1"/>
        <v>46309.874604861114</v>
      </c>
      <c r="K125" s="6"/>
    </row>
    <row r="126" spans="1:11" ht="15.75" hidden="1" thickBot="1" x14ac:dyDescent="0.3">
      <c r="A126" s="1" t="s">
        <v>72</v>
      </c>
      <c r="B126" s="1" t="s">
        <v>17</v>
      </c>
      <c r="C126" s="1" t="s">
        <v>34</v>
      </c>
      <c r="D126" s="1" t="s">
        <v>15</v>
      </c>
      <c r="E126" s="2">
        <v>1277.8499999999999</v>
      </c>
      <c r="F126" s="2">
        <v>18</v>
      </c>
      <c r="G126" s="2">
        <v>0.2</v>
      </c>
      <c r="H126" s="3">
        <v>45613</v>
      </c>
      <c r="I126" s="2">
        <v>511.14</v>
      </c>
      <c r="J126" s="24">
        <f t="shared" ca="1" si="1"/>
        <v>46309.874604861114</v>
      </c>
      <c r="K126" s="5"/>
    </row>
    <row r="127" spans="1:11" ht="30.75" hidden="1" thickBot="1" x14ac:dyDescent="0.3">
      <c r="A127" s="1" t="s">
        <v>70</v>
      </c>
      <c r="B127" s="1" t="s">
        <v>23</v>
      </c>
      <c r="C127" s="1" t="s">
        <v>24</v>
      </c>
      <c r="D127" s="1" t="s">
        <v>21</v>
      </c>
      <c r="E127" s="2">
        <v>706.73</v>
      </c>
      <c r="F127" s="2">
        <v>1</v>
      </c>
      <c r="G127" s="2">
        <v>0.15</v>
      </c>
      <c r="H127" s="3">
        <v>45613</v>
      </c>
      <c r="I127" s="2">
        <v>150.18</v>
      </c>
      <c r="J127" s="24">
        <f t="shared" ca="1" si="1"/>
        <v>46309.874604861114</v>
      </c>
      <c r="K127" s="5"/>
    </row>
    <row r="128" spans="1:11" ht="30.75" hidden="1" thickBot="1" x14ac:dyDescent="0.3">
      <c r="A128" s="1" t="s">
        <v>65</v>
      </c>
      <c r="B128" s="1" t="s">
        <v>50</v>
      </c>
      <c r="C128" s="1" t="s">
        <v>18</v>
      </c>
      <c r="D128" s="1" t="s">
        <v>21</v>
      </c>
      <c r="E128" s="2">
        <v>1410.59</v>
      </c>
      <c r="F128" s="2">
        <v>15</v>
      </c>
      <c r="G128" s="2">
        <v>0</v>
      </c>
      <c r="H128" s="3">
        <v>45615</v>
      </c>
      <c r="I128" s="2">
        <v>352.65</v>
      </c>
      <c r="J128" s="24">
        <f t="shared" ca="1" si="1"/>
        <v>46309.874604861114</v>
      </c>
      <c r="K128" s="5"/>
    </row>
    <row r="129" spans="1:11" ht="30.75" hidden="1" thickBot="1" x14ac:dyDescent="0.3">
      <c r="A129" s="1" t="s">
        <v>32</v>
      </c>
      <c r="B129" s="1" t="s">
        <v>61</v>
      </c>
      <c r="C129" s="1" t="s">
        <v>20</v>
      </c>
      <c r="D129" s="1" t="s">
        <v>27</v>
      </c>
      <c r="E129" s="2">
        <v>1350.33</v>
      </c>
      <c r="F129" s="2">
        <v>10</v>
      </c>
      <c r="G129" s="2">
        <v>0</v>
      </c>
      <c r="H129" s="3">
        <v>45615</v>
      </c>
      <c r="I129" s="2">
        <v>472.62</v>
      </c>
      <c r="J129" s="24">
        <f t="shared" ca="1" si="1"/>
        <v>46309.874604861114</v>
      </c>
      <c r="K129" s="6"/>
    </row>
    <row r="130" spans="1:11" ht="30.75" hidden="1" thickBot="1" x14ac:dyDescent="0.3">
      <c r="A130" s="1" t="s">
        <v>41</v>
      </c>
      <c r="B130" s="1" t="s">
        <v>45</v>
      </c>
      <c r="C130" s="1" t="s">
        <v>18</v>
      </c>
      <c r="D130" s="1" t="s">
        <v>21</v>
      </c>
      <c r="E130" s="2">
        <v>919.18</v>
      </c>
      <c r="F130" s="2">
        <v>4</v>
      </c>
      <c r="G130" s="2">
        <v>0.15</v>
      </c>
      <c r="H130" s="3">
        <v>45615</v>
      </c>
      <c r="I130" s="2">
        <v>195.33</v>
      </c>
      <c r="J130" s="24">
        <f t="shared" ca="1" si="1"/>
        <v>46309.874604861114</v>
      </c>
      <c r="K130" s="5"/>
    </row>
    <row r="131" spans="1:11" ht="30.75" hidden="1" thickBot="1" x14ac:dyDescent="0.3">
      <c r="A131" s="1" t="s">
        <v>74</v>
      </c>
      <c r="B131" s="1" t="s">
        <v>23</v>
      </c>
      <c r="C131" s="1" t="s">
        <v>11</v>
      </c>
      <c r="D131" s="1" t="s">
        <v>21</v>
      </c>
      <c r="E131" s="2">
        <v>258.51</v>
      </c>
      <c r="F131" s="2">
        <v>19</v>
      </c>
      <c r="G131" s="2">
        <v>0</v>
      </c>
      <c r="H131" s="3">
        <v>45616</v>
      </c>
      <c r="I131" s="2">
        <v>64.63</v>
      </c>
      <c r="J131" s="24">
        <f t="shared" ref="J131:J194" ca="1" si="2">NOW()</f>
        <v>46309.874604861114</v>
      </c>
      <c r="K131" s="5"/>
    </row>
    <row r="132" spans="1:11" ht="15.75" hidden="1" thickBot="1" x14ac:dyDescent="0.3">
      <c r="A132" s="1" t="s">
        <v>63</v>
      </c>
      <c r="B132" s="1" t="s">
        <v>61</v>
      </c>
      <c r="C132" s="1" t="s">
        <v>18</v>
      </c>
      <c r="D132" s="1" t="s">
        <v>12</v>
      </c>
      <c r="E132" s="2">
        <v>1213.48</v>
      </c>
      <c r="F132" s="2">
        <v>5</v>
      </c>
      <c r="G132" s="2">
        <v>0.05</v>
      </c>
      <c r="H132" s="3">
        <v>45616</v>
      </c>
      <c r="I132" s="2">
        <v>461.12</v>
      </c>
      <c r="J132" s="24">
        <f t="shared" ca="1" si="2"/>
        <v>46309.874604861114</v>
      </c>
      <c r="K132" s="5"/>
    </row>
    <row r="133" spans="1:11" ht="15.75" hidden="1" thickBot="1" x14ac:dyDescent="0.3">
      <c r="A133" s="1" t="s">
        <v>57</v>
      </c>
      <c r="B133" s="1" t="s">
        <v>38</v>
      </c>
      <c r="C133" s="1" t="s">
        <v>34</v>
      </c>
      <c r="D133" s="1" t="s">
        <v>12</v>
      </c>
      <c r="E133" s="2">
        <v>1150.28</v>
      </c>
      <c r="F133" s="2">
        <v>8</v>
      </c>
      <c r="G133" s="2">
        <v>0.05</v>
      </c>
      <c r="H133" s="3">
        <v>45622</v>
      </c>
      <c r="I133" s="2">
        <v>437.11</v>
      </c>
      <c r="J133" s="24">
        <f t="shared" ca="1" si="2"/>
        <v>46309.874604861114</v>
      </c>
      <c r="K133" s="6"/>
    </row>
    <row r="134" spans="1:11" ht="30.75" hidden="1" thickBot="1" x14ac:dyDescent="0.3">
      <c r="A134" s="1" t="s">
        <v>37</v>
      </c>
      <c r="B134" s="1" t="s">
        <v>71</v>
      </c>
      <c r="C134" s="1" t="s">
        <v>20</v>
      </c>
      <c r="D134" s="1" t="s">
        <v>27</v>
      </c>
      <c r="E134" s="2">
        <v>853.86</v>
      </c>
      <c r="F134" s="2">
        <v>8</v>
      </c>
      <c r="G134" s="2">
        <v>0.1</v>
      </c>
      <c r="H134" s="3">
        <v>45622</v>
      </c>
      <c r="I134" s="2">
        <v>268.97000000000003</v>
      </c>
      <c r="J134" s="24">
        <f t="shared" ca="1" si="2"/>
        <v>46309.874604861114</v>
      </c>
      <c r="K134" s="5"/>
    </row>
    <row r="135" spans="1:11" ht="30.75" hidden="1" thickBot="1" x14ac:dyDescent="0.3">
      <c r="A135" s="1" t="s">
        <v>75</v>
      </c>
      <c r="B135" s="1" t="s">
        <v>45</v>
      </c>
      <c r="C135" s="1" t="s">
        <v>20</v>
      </c>
      <c r="D135" s="1" t="s">
        <v>21</v>
      </c>
      <c r="E135" s="2">
        <v>1061.04</v>
      </c>
      <c r="F135" s="2">
        <v>1</v>
      </c>
      <c r="G135" s="2">
        <v>0</v>
      </c>
      <c r="H135" s="3">
        <v>45624</v>
      </c>
      <c r="I135" s="2">
        <v>265.26</v>
      </c>
      <c r="J135" s="24">
        <f t="shared" ca="1" si="2"/>
        <v>46309.874604861114</v>
      </c>
      <c r="K135" s="5"/>
    </row>
    <row r="136" spans="1:11" ht="30.75" hidden="1" thickBot="1" x14ac:dyDescent="0.3">
      <c r="A136" s="1" t="s">
        <v>28</v>
      </c>
      <c r="B136" s="1" t="s">
        <v>43</v>
      </c>
      <c r="C136" s="1" t="s">
        <v>11</v>
      </c>
      <c r="D136" s="1" t="s">
        <v>21</v>
      </c>
      <c r="E136" s="2">
        <v>894.55</v>
      </c>
      <c r="F136" s="2">
        <v>19</v>
      </c>
      <c r="G136" s="2">
        <v>0.2</v>
      </c>
      <c r="H136" s="3">
        <v>45625</v>
      </c>
      <c r="I136" s="2">
        <v>178.91</v>
      </c>
      <c r="J136" s="24">
        <f t="shared" ca="1" si="2"/>
        <v>46309.874604861114</v>
      </c>
      <c r="K136" s="5"/>
    </row>
    <row r="137" spans="1:11" ht="30.75" hidden="1" thickBot="1" x14ac:dyDescent="0.3">
      <c r="A137" s="1" t="s">
        <v>25</v>
      </c>
      <c r="B137" s="1" t="s">
        <v>38</v>
      </c>
      <c r="C137" s="1" t="s">
        <v>24</v>
      </c>
      <c r="D137" s="1" t="s">
        <v>39</v>
      </c>
      <c r="E137" s="2">
        <v>833.91</v>
      </c>
      <c r="F137" s="2">
        <v>3</v>
      </c>
      <c r="G137" s="2">
        <v>0.05</v>
      </c>
      <c r="H137" s="3">
        <v>45626</v>
      </c>
      <c r="I137" s="2">
        <v>356.5</v>
      </c>
      <c r="J137" s="24">
        <f t="shared" ca="1" si="2"/>
        <v>46309.874604861114</v>
      </c>
      <c r="K137" s="6"/>
    </row>
    <row r="138" spans="1:11" ht="30.75" hidden="1" thickBot="1" x14ac:dyDescent="0.3">
      <c r="A138" s="1" t="s">
        <v>58</v>
      </c>
      <c r="B138" s="1" t="s">
        <v>71</v>
      </c>
      <c r="C138" s="1" t="s">
        <v>11</v>
      </c>
      <c r="D138" s="1" t="s">
        <v>27</v>
      </c>
      <c r="E138" s="2">
        <v>820.19</v>
      </c>
      <c r="F138" s="2">
        <v>4</v>
      </c>
      <c r="G138" s="2">
        <v>0.2</v>
      </c>
      <c r="H138" s="3">
        <v>45630</v>
      </c>
      <c r="I138" s="2">
        <v>229.65</v>
      </c>
      <c r="J138" s="24">
        <f t="shared" ca="1" si="2"/>
        <v>46309.874604861114</v>
      </c>
      <c r="K138" s="5"/>
    </row>
    <row r="139" spans="1:11" ht="30.75" hidden="1" thickBot="1" x14ac:dyDescent="0.3">
      <c r="A139" s="1" t="s">
        <v>58</v>
      </c>
      <c r="B139" s="1" t="s">
        <v>38</v>
      </c>
      <c r="C139" s="1" t="s">
        <v>34</v>
      </c>
      <c r="D139" s="1" t="s">
        <v>21</v>
      </c>
      <c r="E139" s="2">
        <v>511.74</v>
      </c>
      <c r="F139" s="2">
        <v>8</v>
      </c>
      <c r="G139" s="2">
        <v>0.05</v>
      </c>
      <c r="H139" s="3">
        <v>45631</v>
      </c>
      <c r="I139" s="2">
        <v>121.54</v>
      </c>
      <c r="J139" s="24">
        <f t="shared" ca="1" si="2"/>
        <v>46309.874604861114</v>
      </c>
      <c r="K139" s="5"/>
    </row>
    <row r="140" spans="1:11" ht="30.75" hidden="1" thickBot="1" x14ac:dyDescent="0.3">
      <c r="A140" s="1" t="s">
        <v>65</v>
      </c>
      <c r="B140" s="1" t="s">
        <v>61</v>
      </c>
      <c r="C140" s="1" t="s">
        <v>20</v>
      </c>
      <c r="D140" s="1" t="s">
        <v>27</v>
      </c>
      <c r="E140" s="2">
        <v>806.03</v>
      </c>
      <c r="F140" s="2">
        <v>19</v>
      </c>
      <c r="G140" s="2">
        <v>0.05</v>
      </c>
      <c r="H140" s="3">
        <v>45638</v>
      </c>
      <c r="I140" s="2">
        <v>268</v>
      </c>
      <c r="J140" s="24">
        <f t="shared" ca="1" si="2"/>
        <v>46309.874604861114</v>
      </c>
      <c r="K140" s="5"/>
    </row>
    <row r="141" spans="1:11" ht="30.75" hidden="1" thickBot="1" x14ac:dyDescent="0.3">
      <c r="A141" s="1" t="s">
        <v>28</v>
      </c>
      <c r="B141" s="1" t="s">
        <v>26</v>
      </c>
      <c r="C141" s="1" t="s">
        <v>34</v>
      </c>
      <c r="D141" s="1" t="s">
        <v>27</v>
      </c>
      <c r="E141" s="2">
        <v>1432.47</v>
      </c>
      <c r="F141" s="2">
        <v>16</v>
      </c>
      <c r="G141" s="2">
        <v>0.15</v>
      </c>
      <c r="H141" s="3">
        <v>45640</v>
      </c>
      <c r="I141" s="2">
        <v>426.16</v>
      </c>
      <c r="J141" s="24">
        <f t="shared" ca="1" si="2"/>
        <v>46309.874604861114</v>
      </c>
      <c r="K141" s="6"/>
    </row>
    <row r="142" spans="1:11" ht="30.75" hidden="1" thickBot="1" x14ac:dyDescent="0.3">
      <c r="A142" s="1" t="s">
        <v>74</v>
      </c>
      <c r="B142" s="1" t="s">
        <v>29</v>
      </c>
      <c r="C142" s="1" t="s">
        <v>34</v>
      </c>
      <c r="D142" s="1" t="s">
        <v>21</v>
      </c>
      <c r="E142" s="2">
        <v>1488.58</v>
      </c>
      <c r="F142" s="2">
        <v>10</v>
      </c>
      <c r="G142" s="2">
        <v>0.15</v>
      </c>
      <c r="H142" s="3">
        <v>45640</v>
      </c>
      <c r="I142" s="2">
        <v>316.32</v>
      </c>
      <c r="J142" s="24">
        <f t="shared" ca="1" si="2"/>
        <v>46309.874604861114</v>
      </c>
      <c r="K142" s="5"/>
    </row>
    <row r="143" spans="1:11" ht="15.75" hidden="1" thickBot="1" x14ac:dyDescent="0.3">
      <c r="A143" s="1" t="s">
        <v>30</v>
      </c>
      <c r="B143" s="1" t="s">
        <v>66</v>
      </c>
      <c r="C143" s="1" t="s">
        <v>18</v>
      </c>
      <c r="D143" s="1" t="s">
        <v>12</v>
      </c>
      <c r="E143" s="2">
        <v>1231.26</v>
      </c>
      <c r="F143" s="2">
        <v>9</v>
      </c>
      <c r="G143" s="2">
        <v>0</v>
      </c>
      <c r="H143" s="3">
        <v>45646</v>
      </c>
      <c r="I143" s="2">
        <v>492.5</v>
      </c>
      <c r="J143" s="24">
        <f t="shared" ca="1" si="2"/>
        <v>46309.874604861114</v>
      </c>
      <c r="K143" s="5"/>
    </row>
    <row r="144" spans="1:11" ht="30.75" hidden="1" thickBot="1" x14ac:dyDescent="0.3">
      <c r="A144" s="1" t="s">
        <v>30</v>
      </c>
      <c r="B144" s="1" t="s">
        <v>43</v>
      </c>
      <c r="C144" s="1" t="s">
        <v>11</v>
      </c>
      <c r="D144" s="1" t="s">
        <v>21</v>
      </c>
      <c r="E144" s="2">
        <v>1161.67</v>
      </c>
      <c r="F144" s="2">
        <v>19</v>
      </c>
      <c r="G144" s="2">
        <v>0.2</v>
      </c>
      <c r="H144" s="3">
        <v>45647</v>
      </c>
      <c r="I144" s="2">
        <v>232.33</v>
      </c>
      <c r="J144" s="24">
        <f t="shared" ca="1" si="2"/>
        <v>46309.874604861114</v>
      </c>
      <c r="K144" s="5"/>
    </row>
    <row r="145" spans="1:11" ht="30.75" hidden="1" thickBot="1" x14ac:dyDescent="0.3">
      <c r="A145" s="1" t="s">
        <v>49</v>
      </c>
      <c r="B145" s="1" t="s">
        <v>45</v>
      </c>
      <c r="C145" s="1" t="s">
        <v>34</v>
      </c>
      <c r="D145" s="1" t="s">
        <v>39</v>
      </c>
      <c r="E145" s="2">
        <v>388.23</v>
      </c>
      <c r="F145" s="2">
        <v>16</v>
      </c>
      <c r="G145" s="2">
        <v>0.05</v>
      </c>
      <c r="H145" s="3">
        <v>45650</v>
      </c>
      <c r="I145" s="2">
        <v>165.97</v>
      </c>
      <c r="J145" s="24">
        <f t="shared" ca="1" si="2"/>
        <v>46309.874604861114</v>
      </c>
      <c r="K145" s="6"/>
    </row>
    <row r="146" spans="1:11" ht="15.75" thickBot="1" x14ac:dyDescent="0.3">
      <c r="A146" s="1" t="s">
        <v>72</v>
      </c>
      <c r="B146" s="1" t="s">
        <v>31</v>
      </c>
      <c r="C146" s="1" t="s">
        <v>24</v>
      </c>
      <c r="D146" s="1" t="s">
        <v>15</v>
      </c>
      <c r="E146" s="2">
        <v>1589.42</v>
      </c>
      <c r="F146" s="2">
        <v>6</v>
      </c>
      <c r="G146" s="2">
        <v>0.15</v>
      </c>
      <c r="H146" s="3">
        <v>45651</v>
      </c>
      <c r="I146" s="2">
        <v>675.5</v>
      </c>
      <c r="J146" s="24">
        <f t="shared" ca="1" si="2"/>
        <v>46309.874604861114</v>
      </c>
      <c r="K146" s="5"/>
    </row>
    <row r="147" spans="1:11" ht="15.75" hidden="1" thickBot="1" x14ac:dyDescent="0.3">
      <c r="A147" s="1" t="s">
        <v>28</v>
      </c>
      <c r="B147" s="1" t="s">
        <v>71</v>
      </c>
      <c r="C147" s="1" t="s">
        <v>24</v>
      </c>
      <c r="D147" s="1" t="s">
        <v>15</v>
      </c>
      <c r="E147" s="2">
        <v>336.66</v>
      </c>
      <c r="F147" s="2">
        <v>13</v>
      </c>
      <c r="G147" s="2">
        <v>0.2</v>
      </c>
      <c r="H147" s="3">
        <v>45651</v>
      </c>
      <c r="I147" s="2">
        <v>134.66</v>
      </c>
      <c r="J147" s="24">
        <f t="shared" ca="1" si="2"/>
        <v>46309.874604861114</v>
      </c>
      <c r="K147" s="5"/>
    </row>
    <row r="148" spans="1:11" ht="15.75" hidden="1" thickBot="1" x14ac:dyDescent="0.3">
      <c r="A148" s="1" t="s">
        <v>49</v>
      </c>
      <c r="B148" s="1" t="s">
        <v>23</v>
      </c>
      <c r="C148" s="1" t="s">
        <v>11</v>
      </c>
      <c r="D148" s="1" t="s">
        <v>12</v>
      </c>
      <c r="E148" s="2">
        <v>1353.79</v>
      </c>
      <c r="F148" s="2">
        <v>14</v>
      </c>
      <c r="G148" s="2">
        <v>0.1</v>
      </c>
      <c r="H148" s="3">
        <v>45656</v>
      </c>
      <c r="I148" s="2">
        <v>487.36</v>
      </c>
      <c r="J148" s="24">
        <f t="shared" ca="1" si="2"/>
        <v>46309.874604861114</v>
      </c>
      <c r="K148" s="5"/>
    </row>
    <row r="149" spans="1:11" ht="15.75" hidden="1" thickBot="1" x14ac:dyDescent="0.3">
      <c r="A149" s="1" t="s">
        <v>63</v>
      </c>
      <c r="B149" s="1" t="s">
        <v>69</v>
      </c>
      <c r="C149" s="1" t="s">
        <v>34</v>
      </c>
      <c r="D149" s="1" t="s">
        <v>15</v>
      </c>
      <c r="E149" s="2">
        <v>662.61</v>
      </c>
      <c r="F149" s="2">
        <v>11</v>
      </c>
      <c r="G149" s="2">
        <v>0.05</v>
      </c>
      <c r="H149" s="3">
        <v>45658</v>
      </c>
      <c r="I149" s="2">
        <v>314.74</v>
      </c>
      <c r="J149" s="24">
        <f t="shared" ca="1" si="2"/>
        <v>46309.874604861114</v>
      </c>
      <c r="K149" s="6"/>
    </row>
    <row r="150" spans="1:11" ht="30.75" hidden="1" thickBot="1" x14ac:dyDescent="0.3">
      <c r="A150" s="1" t="s">
        <v>52</v>
      </c>
      <c r="B150" s="1" t="s">
        <v>48</v>
      </c>
      <c r="C150" s="1" t="s">
        <v>24</v>
      </c>
      <c r="D150" s="1" t="s">
        <v>39</v>
      </c>
      <c r="E150" s="2">
        <v>309.42</v>
      </c>
      <c r="F150" s="2">
        <v>1</v>
      </c>
      <c r="G150" s="2">
        <v>0.2</v>
      </c>
      <c r="H150" s="3">
        <v>45658</v>
      </c>
      <c r="I150" s="2">
        <v>111.39</v>
      </c>
      <c r="J150" s="24">
        <f t="shared" ca="1" si="2"/>
        <v>46309.874604861114</v>
      </c>
      <c r="K150" s="5"/>
    </row>
    <row r="151" spans="1:11" ht="15.75" hidden="1" thickBot="1" x14ac:dyDescent="0.3">
      <c r="A151" s="1" t="s">
        <v>63</v>
      </c>
      <c r="B151" s="1" t="s">
        <v>29</v>
      </c>
      <c r="C151" s="1" t="s">
        <v>24</v>
      </c>
      <c r="D151" s="1" t="s">
        <v>12</v>
      </c>
      <c r="E151" s="2">
        <v>884.63</v>
      </c>
      <c r="F151" s="2">
        <v>18</v>
      </c>
      <c r="G151" s="2">
        <v>0.1</v>
      </c>
      <c r="H151" s="3">
        <v>45659</v>
      </c>
      <c r="I151" s="2">
        <v>318.47000000000003</v>
      </c>
      <c r="J151" s="24">
        <f t="shared" ca="1" si="2"/>
        <v>46309.874604861114</v>
      </c>
      <c r="K151" s="5"/>
    </row>
    <row r="152" spans="1:11" ht="30.75" hidden="1" thickBot="1" x14ac:dyDescent="0.3">
      <c r="A152" s="1" t="s">
        <v>52</v>
      </c>
      <c r="B152" s="1" t="s">
        <v>23</v>
      </c>
      <c r="C152" s="1" t="s">
        <v>34</v>
      </c>
      <c r="D152" s="1" t="s">
        <v>39</v>
      </c>
      <c r="E152" s="2">
        <v>745.05</v>
      </c>
      <c r="F152" s="2">
        <v>10</v>
      </c>
      <c r="G152" s="2">
        <v>0.1</v>
      </c>
      <c r="H152" s="3">
        <v>45660</v>
      </c>
      <c r="I152" s="2">
        <v>301.75</v>
      </c>
      <c r="J152" s="24">
        <f t="shared" ca="1" si="2"/>
        <v>46309.874604861114</v>
      </c>
      <c r="K152" s="5"/>
    </row>
    <row r="153" spans="1:11" ht="15.75" hidden="1" thickBot="1" x14ac:dyDescent="0.3">
      <c r="A153" s="1" t="s">
        <v>60</v>
      </c>
      <c r="B153" s="1" t="s">
        <v>17</v>
      </c>
      <c r="C153" s="1" t="s">
        <v>20</v>
      </c>
      <c r="D153" s="1" t="s">
        <v>15</v>
      </c>
      <c r="E153" s="2">
        <v>870.23</v>
      </c>
      <c r="F153" s="2">
        <v>5</v>
      </c>
      <c r="G153" s="2">
        <v>0.05</v>
      </c>
      <c r="H153" s="3">
        <v>45660</v>
      </c>
      <c r="I153" s="2">
        <v>413.36</v>
      </c>
      <c r="J153" s="24">
        <f t="shared" ca="1" si="2"/>
        <v>46309.874604861114</v>
      </c>
      <c r="K153" s="6"/>
    </row>
    <row r="154" spans="1:11" ht="30.75" hidden="1" thickBot="1" x14ac:dyDescent="0.3">
      <c r="A154" s="1" t="s">
        <v>35</v>
      </c>
      <c r="B154" s="1" t="s">
        <v>29</v>
      </c>
      <c r="C154" s="1" t="s">
        <v>11</v>
      </c>
      <c r="D154" s="1" t="s">
        <v>27</v>
      </c>
      <c r="E154" s="2">
        <v>862.19</v>
      </c>
      <c r="F154" s="2">
        <v>18</v>
      </c>
      <c r="G154" s="2">
        <v>0.05</v>
      </c>
      <c r="H154" s="3">
        <v>45663</v>
      </c>
      <c r="I154" s="2">
        <v>286.68</v>
      </c>
      <c r="J154" s="24">
        <f t="shared" ca="1" si="2"/>
        <v>46309.874604861114</v>
      </c>
      <c r="K154" s="5"/>
    </row>
    <row r="155" spans="1:11" ht="15.75" hidden="1" thickBot="1" x14ac:dyDescent="0.3">
      <c r="A155" s="1" t="s">
        <v>73</v>
      </c>
      <c r="B155" s="1" t="s">
        <v>59</v>
      </c>
      <c r="C155" s="1" t="s">
        <v>24</v>
      </c>
      <c r="D155" s="1" t="s">
        <v>15</v>
      </c>
      <c r="E155" s="2">
        <v>1171.18</v>
      </c>
      <c r="F155" s="2">
        <v>19</v>
      </c>
      <c r="G155" s="2">
        <v>0.05</v>
      </c>
      <c r="H155" s="3">
        <v>45667</v>
      </c>
      <c r="I155" s="2">
        <v>556.30999999999995</v>
      </c>
      <c r="J155" s="24">
        <f t="shared" ca="1" si="2"/>
        <v>46309.874604861114</v>
      </c>
      <c r="K155" s="5"/>
    </row>
    <row r="156" spans="1:11" ht="30.75" hidden="1" thickBot="1" x14ac:dyDescent="0.3">
      <c r="A156" s="1" t="s">
        <v>58</v>
      </c>
      <c r="B156" s="1" t="s">
        <v>14</v>
      </c>
      <c r="C156" s="1" t="s">
        <v>20</v>
      </c>
      <c r="D156" s="1" t="s">
        <v>27</v>
      </c>
      <c r="E156" s="2">
        <v>1054.56</v>
      </c>
      <c r="F156" s="2">
        <v>11</v>
      </c>
      <c r="G156" s="2">
        <v>0.1</v>
      </c>
      <c r="H156" s="3">
        <v>45669</v>
      </c>
      <c r="I156" s="2">
        <v>332.19</v>
      </c>
      <c r="J156" s="24">
        <f t="shared" ca="1" si="2"/>
        <v>46309.874604861114</v>
      </c>
      <c r="K156" s="5"/>
    </row>
    <row r="157" spans="1:11" ht="30.75" thickBot="1" x14ac:dyDescent="0.3">
      <c r="A157" s="1" t="s">
        <v>58</v>
      </c>
      <c r="B157" s="1" t="s">
        <v>23</v>
      </c>
      <c r="C157" s="1" t="s">
        <v>24</v>
      </c>
      <c r="D157" s="1" t="s">
        <v>21</v>
      </c>
      <c r="E157" s="2">
        <v>1681.21</v>
      </c>
      <c r="F157" s="2">
        <v>5</v>
      </c>
      <c r="G157" s="2">
        <v>0.2</v>
      </c>
      <c r="H157" s="3">
        <v>45670</v>
      </c>
      <c r="I157" s="2">
        <v>336.24</v>
      </c>
      <c r="J157" s="24">
        <f t="shared" ca="1" si="2"/>
        <v>46309.874604861114</v>
      </c>
      <c r="K157" s="6"/>
    </row>
    <row r="158" spans="1:11" ht="15.75" hidden="1" thickBot="1" x14ac:dyDescent="0.3">
      <c r="A158" s="1" t="s">
        <v>58</v>
      </c>
      <c r="B158" s="1" t="s">
        <v>36</v>
      </c>
      <c r="C158" s="1" t="s">
        <v>11</v>
      </c>
      <c r="D158" s="1" t="s">
        <v>15</v>
      </c>
      <c r="E158" s="2">
        <v>379.77</v>
      </c>
      <c r="F158" s="2">
        <v>9</v>
      </c>
      <c r="G158" s="2">
        <v>0.05</v>
      </c>
      <c r="H158" s="3">
        <v>45673</v>
      </c>
      <c r="I158" s="2">
        <v>180.39</v>
      </c>
      <c r="J158" s="24">
        <f t="shared" ca="1" si="2"/>
        <v>46309.874604861114</v>
      </c>
      <c r="K158" s="5"/>
    </row>
    <row r="159" spans="1:11" ht="15.75" hidden="1" thickBot="1" x14ac:dyDescent="0.3">
      <c r="A159" s="1" t="s">
        <v>44</v>
      </c>
      <c r="B159" s="1" t="s">
        <v>45</v>
      </c>
      <c r="C159" s="1" t="s">
        <v>34</v>
      </c>
      <c r="D159" s="1" t="s">
        <v>15</v>
      </c>
      <c r="E159" s="2">
        <v>1076.33</v>
      </c>
      <c r="F159" s="2">
        <v>2</v>
      </c>
      <c r="G159" s="2">
        <v>0.1</v>
      </c>
      <c r="H159" s="3">
        <v>45674</v>
      </c>
      <c r="I159" s="2">
        <v>484.35</v>
      </c>
      <c r="J159" s="24">
        <f t="shared" ca="1" si="2"/>
        <v>46309.874604861114</v>
      </c>
      <c r="K159" s="5"/>
    </row>
    <row r="160" spans="1:11" ht="30.75" hidden="1" thickBot="1" x14ac:dyDescent="0.3">
      <c r="A160" s="1" t="s">
        <v>44</v>
      </c>
      <c r="B160" s="1" t="s">
        <v>31</v>
      </c>
      <c r="C160" s="1" t="s">
        <v>34</v>
      </c>
      <c r="D160" s="1" t="s">
        <v>39</v>
      </c>
      <c r="E160" s="2">
        <v>1250.71</v>
      </c>
      <c r="F160" s="2">
        <v>7</v>
      </c>
      <c r="G160" s="2">
        <v>0</v>
      </c>
      <c r="H160" s="3">
        <v>45674</v>
      </c>
      <c r="I160" s="2">
        <v>562.82000000000005</v>
      </c>
      <c r="J160" s="24">
        <f t="shared" ca="1" si="2"/>
        <v>46309.874604861114</v>
      </c>
      <c r="K160" s="5"/>
    </row>
    <row r="161" spans="1:11" ht="15.75" hidden="1" thickBot="1" x14ac:dyDescent="0.3">
      <c r="A161" s="1" t="s">
        <v>40</v>
      </c>
      <c r="B161" s="1" t="s">
        <v>17</v>
      </c>
      <c r="C161" s="1" t="s">
        <v>20</v>
      </c>
      <c r="D161" s="1" t="s">
        <v>15</v>
      </c>
      <c r="E161" s="2">
        <v>1118.3399999999999</v>
      </c>
      <c r="F161" s="2">
        <v>6</v>
      </c>
      <c r="G161" s="2">
        <v>0.2</v>
      </c>
      <c r="H161" s="3">
        <v>45674</v>
      </c>
      <c r="I161" s="2">
        <v>447.34</v>
      </c>
      <c r="J161" s="24">
        <f t="shared" ca="1" si="2"/>
        <v>46309.874604861114</v>
      </c>
      <c r="K161" s="6"/>
    </row>
    <row r="162" spans="1:11" ht="15.75" thickBot="1" x14ac:dyDescent="0.3">
      <c r="A162" s="1" t="s">
        <v>70</v>
      </c>
      <c r="B162" s="1" t="s">
        <v>53</v>
      </c>
      <c r="C162" s="1" t="s">
        <v>24</v>
      </c>
      <c r="D162" s="1" t="s">
        <v>15</v>
      </c>
      <c r="E162" s="2">
        <v>1622.62</v>
      </c>
      <c r="F162" s="2">
        <v>12</v>
      </c>
      <c r="G162" s="2">
        <v>0.2</v>
      </c>
      <c r="H162" s="3">
        <v>45677</v>
      </c>
      <c r="I162" s="2">
        <v>649.04999999999995</v>
      </c>
      <c r="J162" s="24">
        <f t="shared" ca="1" si="2"/>
        <v>46309.874604861114</v>
      </c>
      <c r="K162" s="5"/>
    </row>
    <row r="163" spans="1:11" ht="15.75" hidden="1" thickBot="1" x14ac:dyDescent="0.3">
      <c r="A163" s="1" t="s">
        <v>75</v>
      </c>
      <c r="B163" s="1" t="s">
        <v>48</v>
      </c>
      <c r="C163" s="1" t="s">
        <v>24</v>
      </c>
      <c r="D163" s="1" t="s">
        <v>12</v>
      </c>
      <c r="E163" s="2">
        <v>640.64</v>
      </c>
      <c r="F163" s="2">
        <v>11</v>
      </c>
      <c r="G163" s="2">
        <v>0.2</v>
      </c>
      <c r="H163" s="3">
        <v>45678</v>
      </c>
      <c r="I163" s="2">
        <v>205</v>
      </c>
      <c r="J163" s="24">
        <f t="shared" ca="1" si="2"/>
        <v>46309.874604861114</v>
      </c>
      <c r="K163" s="5"/>
    </row>
    <row r="164" spans="1:11" ht="15.75" hidden="1" thickBot="1" x14ac:dyDescent="0.3">
      <c r="A164" s="1" t="s">
        <v>22</v>
      </c>
      <c r="B164" s="1" t="s">
        <v>43</v>
      </c>
      <c r="C164" s="1" t="s">
        <v>11</v>
      </c>
      <c r="D164" s="1" t="s">
        <v>15</v>
      </c>
      <c r="E164" s="2">
        <v>585.16</v>
      </c>
      <c r="F164" s="2">
        <v>17</v>
      </c>
      <c r="G164" s="2">
        <v>0.1</v>
      </c>
      <c r="H164" s="3">
        <v>45684</v>
      </c>
      <c r="I164" s="2">
        <v>263.32</v>
      </c>
      <c r="J164" s="24">
        <f t="shared" ca="1" si="2"/>
        <v>46309.874604861114</v>
      </c>
      <c r="K164" s="5"/>
    </row>
    <row r="165" spans="1:11" ht="15.75" hidden="1" thickBot="1" x14ac:dyDescent="0.3">
      <c r="A165" s="1" t="s">
        <v>22</v>
      </c>
      <c r="B165" s="1" t="s">
        <v>31</v>
      </c>
      <c r="C165" s="1" t="s">
        <v>18</v>
      </c>
      <c r="D165" s="1" t="s">
        <v>15</v>
      </c>
      <c r="E165" s="2">
        <v>1109.98</v>
      </c>
      <c r="F165" s="2">
        <v>5</v>
      </c>
      <c r="G165" s="2">
        <v>0.2</v>
      </c>
      <c r="H165" s="3">
        <v>45690</v>
      </c>
      <c r="I165" s="2">
        <v>443.99</v>
      </c>
      <c r="J165" s="24">
        <f t="shared" ca="1" si="2"/>
        <v>46309.874604861114</v>
      </c>
      <c r="K165" s="6"/>
    </row>
    <row r="166" spans="1:11" ht="15.75" hidden="1" thickBot="1" x14ac:dyDescent="0.3">
      <c r="A166" s="1" t="s">
        <v>58</v>
      </c>
      <c r="B166" s="1" t="s">
        <v>45</v>
      </c>
      <c r="C166" s="1" t="s">
        <v>18</v>
      </c>
      <c r="D166" s="1" t="s">
        <v>12</v>
      </c>
      <c r="E166" s="2">
        <v>1098.08</v>
      </c>
      <c r="F166" s="2">
        <v>9</v>
      </c>
      <c r="G166" s="2">
        <v>0.1</v>
      </c>
      <c r="H166" s="3">
        <v>45692</v>
      </c>
      <c r="I166" s="2">
        <v>395.31</v>
      </c>
      <c r="J166" s="24">
        <f t="shared" ca="1" si="2"/>
        <v>46309.874604861114</v>
      </c>
      <c r="K166" s="5"/>
    </row>
    <row r="167" spans="1:11" ht="30.75" hidden="1" thickBot="1" x14ac:dyDescent="0.3">
      <c r="A167" s="1" t="s">
        <v>65</v>
      </c>
      <c r="B167" s="1" t="s">
        <v>48</v>
      </c>
      <c r="C167" s="1" t="s">
        <v>11</v>
      </c>
      <c r="D167" s="1" t="s">
        <v>39</v>
      </c>
      <c r="E167" s="2">
        <v>827.25</v>
      </c>
      <c r="F167" s="2">
        <v>7</v>
      </c>
      <c r="G167" s="2">
        <v>0.1</v>
      </c>
      <c r="H167" s="3">
        <v>45693</v>
      </c>
      <c r="I167" s="2">
        <v>335.04</v>
      </c>
      <c r="J167" s="24">
        <f t="shared" ca="1" si="2"/>
        <v>46309.874604861114</v>
      </c>
      <c r="K167" s="5"/>
    </row>
    <row r="168" spans="1:11" ht="15.75" hidden="1" thickBot="1" x14ac:dyDescent="0.3">
      <c r="A168" s="1" t="s">
        <v>70</v>
      </c>
      <c r="B168" s="1" t="s">
        <v>29</v>
      </c>
      <c r="C168" s="1" t="s">
        <v>34</v>
      </c>
      <c r="D168" s="1" t="s">
        <v>15</v>
      </c>
      <c r="E168" s="2">
        <v>741.88</v>
      </c>
      <c r="F168" s="2">
        <v>16</v>
      </c>
      <c r="G168" s="2">
        <v>0.1</v>
      </c>
      <c r="H168" s="3">
        <v>45695</v>
      </c>
      <c r="I168" s="2">
        <v>333.85</v>
      </c>
      <c r="J168" s="24">
        <f t="shared" ca="1" si="2"/>
        <v>46309.874604861114</v>
      </c>
      <c r="K168" s="5"/>
    </row>
    <row r="169" spans="1:11" ht="30.75" hidden="1" thickBot="1" x14ac:dyDescent="0.3">
      <c r="A169" s="1" t="s">
        <v>72</v>
      </c>
      <c r="B169" s="1" t="s">
        <v>10</v>
      </c>
      <c r="C169" s="1" t="s">
        <v>18</v>
      </c>
      <c r="D169" s="1" t="s">
        <v>39</v>
      </c>
      <c r="E169" s="2">
        <v>1311.26</v>
      </c>
      <c r="F169" s="2">
        <v>6</v>
      </c>
      <c r="G169" s="2">
        <v>0.1</v>
      </c>
      <c r="H169" s="3">
        <v>45698</v>
      </c>
      <c r="I169" s="2">
        <v>531.05999999999995</v>
      </c>
      <c r="J169" s="24">
        <f t="shared" ca="1" si="2"/>
        <v>46309.874604861114</v>
      </c>
      <c r="K169" s="6"/>
    </row>
    <row r="170" spans="1:11" ht="30.75" hidden="1" thickBot="1" x14ac:dyDescent="0.3">
      <c r="A170" s="1" t="s">
        <v>72</v>
      </c>
      <c r="B170" s="1" t="s">
        <v>31</v>
      </c>
      <c r="C170" s="1" t="s">
        <v>20</v>
      </c>
      <c r="D170" s="1" t="s">
        <v>39</v>
      </c>
      <c r="E170" s="2">
        <v>573.32000000000005</v>
      </c>
      <c r="F170" s="2">
        <v>19</v>
      </c>
      <c r="G170" s="2">
        <v>0.1</v>
      </c>
      <c r="H170" s="3">
        <v>45703</v>
      </c>
      <c r="I170" s="2">
        <v>232.19</v>
      </c>
      <c r="J170" s="24">
        <f t="shared" ca="1" si="2"/>
        <v>46309.874604861114</v>
      </c>
      <c r="K170" s="5"/>
    </row>
    <row r="171" spans="1:11" ht="30.75" hidden="1" thickBot="1" x14ac:dyDescent="0.3">
      <c r="A171" s="1" t="s">
        <v>52</v>
      </c>
      <c r="B171" s="1" t="s">
        <v>23</v>
      </c>
      <c r="C171" s="1" t="s">
        <v>11</v>
      </c>
      <c r="D171" s="1" t="s">
        <v>21</v>
      </c>
      <c r="E171" s="2">
        <v>1115.22</v>
      </c>
      <c r="F171" s="2">
        <v>14</v>
      </c>
      <c r="G171" s="2">
        <v>0.2</v>
      </c>
      <c r="H171" s="3">
        <v>45705</v>
      </c>
      <c r="I171" s="2">
        <v>223.04</v>
      </c>
      <c r="J171" s="24">
        <f t="shared" ca="1" si="2"/>
        <v>46309.874604861114</v>
      </c>
      <c r="K171" s="5"/>
    </row>
    <row r="172" spans="1:11" ht="15.75" hidden="1" thickBot="1" x14ac:dyDescent="0.3">
      <c r="A172" s="1" t="s">
        <v>13</v>
      </c>
      <c r="B172" s="1" t="s">
        <v>45</v>
      </c>
      <c r="C172" s="1" t="s">
        <v>24</v>
      </c>
      <c r="D172" s="1" t="s">
        <v>15</v>
      </c>
      <c r="E172" s="2">
        <v>845.84</v>
      </c>
      <c r="F172" s="2">
        <v>4</v>
      </c>
      <c r="G172" s="2">
        <v>0</v>
      </c>
      <c r="H172" s="3">
        <v>45707</v>
      </c>
      <c r="I172" s="2">
        <v>422.92</v>
      </c>
      <c r="J172" s="24">
        <f t="shared" ca="1" si="2"/>
        <v>46309.874604861114</v>
      </c>
      <c r="K172" s="5"/>
    </row>
    <row r="173" spans="1:11" ht="30.75" hidden="1" thickBot="1" x14ac:dyDescent="0.3">
      <c r="A173" s="1" t="s">
        <v>30</v>
      </c>
      <c r="B173" s="1" t="s">
        <v>55</v>
      </c>
      <c r="C173" s="1" t="s">
        <v>11</v>
      </c>
      <c r="D173" s="1" t="s">
        <v>21</v>
      </c>
      <c r="E173" s="2">
        <v>1029.8</v>
      </c>
      <c r="F173" s="2">
        <v>3</v>
      </c>
      <c r="G173" s="2">
        <v>0</v>
      </c>
      <c r="H173" s="3">
        <v>45708</v>
      </c>
      <c r="I173" s="2">
        <v>257.45</v>
      </c>
      <c r="J173" s="24">
        <f t="shared" ca="1" si="2"/>
        <v>46309.874604861114</v>
      </c>
      <c r="K173" s="6"/>
    </row>
    <row r="174" spans="1:11" ht="15.75" hidden="1" thickBot="1" x14ac:dyDescent="0.3">
      <c r="A174" s="1" t="s">
        <v>32</v>
      </c>
      <c r="B174" s="1" t="s">
        <v>31</v>
      </c>
      <c r="C174" s="1" t="s">
        <v>24</v>
      </c>
      <c r="D174" s="1" t="s">
        <v>12</v>
      </c>
      <c r="E174" s="2">
        <v>1189.83</v>
      </c>
      <c r="F174" s="2">
        <v>2</v>
      </c>
      <c r="G174" s="2">
        <v>0.2</v>
      </c>
      <c r="H174" s="3">
        <v>45709</v>
      </c>
      <c r="I174" s="2">
        <v>380.75</v>
      </c>
      <c r="J174" s="24">
        <f t="shared" ca="1" si="2"/>
        <v>46309.874604861114</v>
      </c>
      <c r="K174" s="5"/>
    </row>
    <row r="175" spans="1:11" ht="15.75" hidden="1" thickBot="1" x14ac:dyDescent="0.3">
      <c r="A175" s="1" t="s">
        <v>67</v>
      </c>
      <c r="B175" s="1" t="s">
        <v>43</v>
      </c>
      <c r="C175" s="1" t="s">
        <v>20</v>
      </c>
      <c r="D175" s="1" t="s">
        <v>12</v>
      </c>
      <c r="E175" s="2">
        <v>704.28</v>
      </c>
      <c r="F175" s="2">
        <v>15</v>
      </c>
      <c r="G175" s="2">
        <v>0.2</v>
      </c>
      <c r="H175" s="3">
        <v>45712</v>
      </c>
      <c r="I175" s="2">
        <v>225.37</v>
      </c>
      <c r="J175" s="24">
        <f t="shared" ca="1" si="2"/>
        <v>46309.874604861114</v>
      </c>
      <c r="K175" s="5"/>
    </row>
    <row r="176" spans="1:11" ht="30.75" thickBot="1" x14ac:dyDescent="0.3">
      <c r="A176" s="1" t="s">
        <v>65</v>
      </c>
      <c r="B176" s="1" t="s">
        <v>47</v>
      </c>
      <c r="C176" s="1" t="s">
        <v>34</v>
      </c>
      <c r="D176" s="1" t="s">
        <v>39</v>
      </c>
      <c r="E176" s="2">
        <v>1618.22</v>
      </c>
      <c r="F176" s="2">
        <v>12</v>
      </c>
      <c r="G176" s="2">
        <v>0.2</v>
      </c>
      <c r="H176" s="3">
        <v>45712</v>
      </c>
      <c r="I176" s="2">
        <v>582.55999999999995</v>
      </c>
      <c r="J176" s="24">
        <f t="shared" ca="1" si="2"/>
        <v>46309.874604861114</v>
      </c>
      <c r="K176" s="5"/>
    </row>
    <row r="177" spans="1:11" ht="15.75" hidden="1" thickBot="1" x14ac:dyDescent="0.3">
      <c r="A177" s="1" t="s">
        <v>73</v>
      </c>
      <c r="B177" s="1" t="s">
        <v>53</v>
      </c>
      <c r="C177" s="1" t="s">
        <v>34</v>
      </c>
      <c r="D177" s="1" t="s">
        <v>12</v>
      </c>
      <c r="E177" s="2">
        <v>1014.43</v>
      </c>
      <c r="F177" s="2">
        <v>2</v>
      </c>
      <c r="G177" s="2">
        <v>0.15</v>
      </c>
      <c r="H177" s="3">
        <v>45713</v>
      </c>
      <c r="I177" s="2">
        <v>344.91</v>
      </c>
      <c r="J177" s="24">
        <f t="shared" ca="1" si="2"/>
        <v>46309.874604861114</v>
      </c>
      <c r="K177" s="6"/>
    </row>
    <row r="178" spans="1:11" ht="15.75" hidden="1" thickBot="1" x14ac:dyDescent="0.3">
      <c r="A178" s="1" t="s">
        <v>75</v>
      </c>
      <c r="B178" s="1" t="s">
        <v>31</v>
      </c>
      <c r="C178" s="1" t="s">
        <v>34</v>
      </c>
      <c r="D178" s="1" t="s">
        <v>15</v>
      </c>
      <c r="E178" s="2">
        <v>826.97</v>
      </c>
      <c r="F178" s="2">
        <v>18</v>
      </c>
      <c r="G178" s="2">
        <v>0.2</v>
      </c>
      <c r="H178" s="3">
        <v>45715</v>
      </c>
      <c r="I178" s="2">
        <v>330.79</v>
      </c>
      <c r="J178" s="24">
        <f t="shared" ca="1" si="2"/>
        <v>46309.874604861114</v>
      </c>
      <c r="K178" s="5"/>
    </row>
    <row r="179" spans="1:11" ht="15.75" hidden="1" thickBot="1" x14ac:dyDescent="0.3">
      <c r="A179" s="1" t="s">
        <v>16</v>
      </c>
      <c r="B179" s="1" t="s">
        <v>31</v>
      </c>
      <c r="C179" s="1" t="s">
        <v>34</v>
      </c>
      <c r="D179" s="1" t="s">
        <v>15</v>
      </c>
      <c r="E179" s="2">
        <v>1022.23</v>
      </c>
      <c r="F179" s="2">
        <v>8</v>
      </c>
      <c r="G179" s="2">
        <v>0.1</v>
      </c>
      <c r="H179" s="3">
        <v>45717</v>
      </c>
      <c r="I179" s="2">
        <v>460</v>
      </c>
      <c r="J179" s="24">
        <f t="shared" ca="1" si="2"/>
        <v>46309.874604861114</v>
      </c>
      <c r="K179" s="5"/>
    </row>
    <row r="180" spans="1:11" ht="15.75" hidden="1" thickBot="1" x14ac:dyDescent="0.3">
      <c r="A180" s="1" t="s">
        <v>72</v>
      </c>
      <c r="B180" s="1" t="s">
        <v>29</v>
      </c>
      <c r="C180" s="1" t="s">
        <v>18</v>
      </c>
      <c r="D180" s="1" t="s">
        <v>12</v>
      </c>
      <c r="E180" s="2">
        <v>1099.69</v>
      </c>
      <c r="F180" s="2">
        <v>6</v>
      </c>
      <c r="G180" s="2">
        <v>0</v>
      </c>
      <c r="H180" s="3">
        <v>45718</v>
      </c>
      <c r="I180" s="2">
        <v>439.88</v>
      </c>
      <c r="J180" s="24">
        <f t="shared" ca="1" si="2"/>
        <v>46309.874604861114</v>
      </c>
      <c r="K180" s="5"/>
    </row>
    <row r="181" spans="1:11" ht="15.75" hidden="1" thickBot="1" x14ac:dyDescent="0.3">
      <c r="A181" s="1" t="s">
        <v>52</v>
      </c>
      <c r="B181" s="1" t="s">
        <v>64</v>
      </c>
      <c r="C181" s="1" t="s">
        <v>24</v>
      </c>
      <c r="D181" s="1" t="s">
        <v>12</v>
      </c>
      <c r="E181" s="2">
        <v>710.52</v>
      </c>
      <c r="F181" s="2">
        <v>8</v>
      </c>
      <c r="G181" s="2">
        <v>0.1</v>
      </c>
      <c r="H181" s="3">
        <v>45721</v>
      </c>
      <c r="I181" s="2">
        <v>255.79</v>
      </c>
      <c r="J181" s="24">
        <f t="shared" ca="1" si="2"/>
        <v>46309.874604861114</v>
      </c>
      <c r="K181" s="6"/>
    </row>
    <row r="182" spans="1:11" ht="15.75" hidden="1" thickBot="1" x14ac:dyDescent="0.3">
      <c r="A182" s="1" t="s">
        <v>52</v>
      </c>
      <c r="B182" s="1" t="s">
        <v>59</v>
      </c>
      <c r="C182" s="1" t="s">
        <v>24</v>
      </c>
      <c r="D182" s="1" t="s">
        <v>12</v>
      </c>
      <c r="E182" s="2">
        <v>499.18</v>
      </c>
      <c r="F182" s="2">
        <v>15</v>
      </c>
      <c r="G182" s="2">
        <v>0.2</v>
      </c>
      <c r="H182" s="3">
        <v>45724</v>
      </c>
      <c r="I182" s="2">
        <v>159.74</v>
      </c>
      <c r="J182" s="24">
        <f t="shared" ca="1" si="2"/>
        <v>46309.874604861114</v>
      </c>
      <c r="K182" s="5"/>
    </row>
    <row r="183" spans="1:11" ht="15.75" hidden="1" thickBot="1" x14ac:dyDescent="0.3">
      <c r="A183" s="1" t="s">
        <v>37</v>
      </c>
      <c r="B183" s="1" t="s">
        <v>38</v>
      </c>
      <c r="C183" s="1" t="s">
        <v>20</v>
      </c>
      <c r="D183" s="1" t="s">
        <v>12</v>
      </c>
      <c r="E183" s="2">
        <v>1064.19</v>
      </c>
      <c r="F183" s="2">
        <v>18</v>
      </c>
      <c r="G183" s="2">
        <v>0.05</v>
      </c>
      <c r="H183" s="3">
        <v>45725</v>
      </c>
      <c r="I183" s="2">
        <v>404.39</v>
      </c>
      <c r="J183" s="24">
        <f t="shared" ca="1" si="2"/>
        <v>46309.874604861114</v>
      </c>
      <c r="K183" s="5"/>
    </row>
    <row r="184" spans="1:11" ht="30.75" hidden="1" thickBot="1" x14ac:dyDescent="0.3">
      <c r="A184" s="1" t="s">
        <v>67</v>
      </c>
      <c r="B184" s="1" t="s">
        <v>38</v>
      </c>
      <c r="C184" s="1" t="s">
        <v>18</v>
      </c>
      <c r="D184" s="1" t="s">
        <v>39</v>
      </c>
      <c r="E184" s="2">
        <v>438.76</v>
      </c>
      <c r="F184" s="2">
        <v>18</v>
      </c>
      <c r="G184" s="2">
        <v>0.05</v>
      </c>
      <c r="H184" s="3">
        <v>45726</v>
      </c>
      <c r="I184" s="2">
        <v>187.57</v>
      </c>
      <c r="J184" s="24">
        <f t="shared" ca="1" si="2"/>
        <v>46309.874604861114</v>
      </c>
      <c r="K184" s="5"/>
    </row>
    <row r="185" spans="1:11" ht="15.75" hidden="1" thickBot="1" x14ac:dyDescent="0.3">
      <c r="A185" s="1" t="s">
        <v>41</v>
      </c>
      <c r="B185" s="1" t="s">
        <v>55</v>
      </c>
      <c r="C185" s="1" t="s">
        <v>11</v>
      </c>
      <c r="D185" s="1" t="s">
        <v>15</v>
      </c>
      <c r="E185" s="2">
        <v>864.98</v>
      </c>
      <c r="F185" s="2">
        <v>2</v>
      </c>
      <c r="G185" s="2">
        <v>0.05</v>
      </c>
      <c r="H185" s="3">
        <v>45727</v>
      </c>
      <c r="I185" s="2">
        <v>410.87</v>
      </c>
      <c r="J185" s="24">
        <f t="shared" ca="1" si="2"/>
        <v>46309.874604861114</v>
      </c>
      <c r="K185" s="6"/>
    </row>
    <row r="186" spans="1:11" ht="30.75" hidden="1" thickBot="1" x14ac:dyDescent="0.3">
      <c r="A186" s="1" t="s">
        <v>57</v>
      </c>
      <c r="B186" s="1" t="s">
        <v>55</v>
      </c>
      <c r="C186" s="1" t="s">
        <v>11</v>
      </c>
      <c r="D186" s="1" t="s">
        <v>27</v>
      </c>
      <c r="E186" s="2">
        <v>984.93</v>
      </c>
      <c r="F186" s="2">
        <v>14</v>
      </c>
      <c r="G186" s="2">
        <v>0.2</v>
      </c>
      <c r="H186" s="3">
        <v>45733</v>
      </c>
      <c r="I186" s="2">
        <v>275.77999999999997</v>
      </c>
      <c r="J186" s="24">
        <f t="shared" ca="1" si="2"/>
        <v>46309.874604861114</v>
      </c>
      <c r="K186" s="5"/>
    </row>
    <row r="187" spans="1:11" ht="15.75" thickBot="1" x14ac:dyDescent="0.3">
      <c r="A187" s="1" t="s">
        <v>25</v>
      </c>
      <c r="B187" s="1" t="s">
        <v>55</v>
      </c>
      <c r="C187" s="1" t="s">
        <v>11</v>
      </c>
      <c r="D187" s="1" t="s">
        <v>15</v>
      </c>
      <c r="E187" s="2">
        <v>1493.49</v>
      </c>
      <c r="F187" s="2">
        <v>18</v>
      </c>
      <c r="G187" s="2">
        <v>0</v>
      </c>
      <c r="H187" s="3">
        <v>45734</v>
      </c>
      <c r="I187" s="2">
        <v>746.74</v>
      </c>
      <c r="J187" s="24">
        <f t="shared" ca="1" si="2"/>
        <v>46309.874604861114</v>
      </c>
      <c r="K187" s="5"/>
    </row>
    <row r="188" spans="1:11" ht="15.75" hidden="1" thickBot="1" x14ac:dyDescent="0.3">
      <c r="A188" s="1" t="s">
        <v>32</v>
      </c>
      <c r="B188" s="1" t="s">
        <v>53</v>
      </c>
      <c r="C188" s="1" t="s">
        <v>20</v>
      </c>
      <c r="D188" s="1" t="s">
        <v>15</v>
      </c>
      <c r="E188" s="2">
        <v>689.43</v>
      </c>
      <c r="F188" s="2">
        <v>9</v>
      </c>
      <c r="G188" s="2">
        <v>0.1</v>
      </c>
      <c r="H188" s="3">
        <v>45736</v>
      </c>
      <c r="I188" s="2">
        <v>310.24</v>
      </c>
      <c r="J188" s="24">
        <f t="shared" ca="1" si="2"/>
        <v>46309.874604861114</v>
      </c>
      <c r="K188" s="5"/>
    </row>
    <row r="189" spans="1:11" ht="15.75" hidden="1" thickBot="1" x14ac:dyDescent="0.3">
      <c r="A189" s="1" t="s">
        <v>40</v>
      </c>
      <c r="B189" s="1" t="s">
        <v>59</v>
      </c>
      <c r="C189" s="1" t="s">
        <v>20</v>
      </c>
      <c r="D189" s="1" t="s">
        <v>15</v>
      </c>
      <c r="E189" s="2">
        <v>682.24</v>
      </c>
      <c r="F189" s="2">
        <v>1</v>
      </c>
      <c r="G189" s="2">
        <v>0</v>
      </c>
      <c r="H189" s="3">
        <v>45738</v>
      </c>
      <c r="I189" s="2">
        <v>341.12</v>
      </c>
      <c r="J189" s="24">
        <f t="shared" ca="1" si="2"/>
        <v>46309.874604861114</v>
      </c>
      <c r="K189" s="6"/>
    </row>
    <row r="190" spans="1:11" ht="30.75" hidden="1" thickBot="1" x14ac:dyDescent="0.3">
      <c r="A190" s="1" t="s">
        <v>41</v>
      </c>
      <c r="B190" s="1" t="s">
        <v>26</v>
      </c>
      <c r="C190" s="1" t="s">
        <v>24</v>
      </c>
      <c r="D190" s="1" t="s">
        <v>21</v>
      </c>
      <c r="E190" s="2">
        <v>458.54</v>
      </c>
      <c r="F190" s="2">
        <v>15</v>
      </c>
      <c r="G190" s="2">
        <v>0.2</v>
      </c>
      <c r="H190" s="3">
        <v>45741</v>
      </c>
      <c r="I190" s="2">
        <v>91.71</v>
      </c>
      <c r="J190" s="24">
        <f t="shared" ca="1" si="2"/>
        <v>46309.874604861114</v>
      </c>
      <c r="K190" s="5"/>
    </row>
    <row r="191" spans="1:11" ht="30.75" hidden="1" thickBot="1" x14ac:dyDescent="0.3">
      <c r="A191" s="1" t="s">
        <v>32</v>
      </c>
      <c r="B191" s="1" t="s">
        <v>26</v>
      </c>
      <c r="C191" s="1" t="s">
        <v>20</v>
      </c>
      <c r="D191" s="1" t="s">
        <v>27</v>
      </c>
      <c r="E191" s="2">
        <v>1184.25</v>
      </c>
      <c r="F191" s="2">
        <v>11</v>
      </c>
      <c r="G191" s="2">
        <v>0.2</v>
      </c>
      <c r="H191" s="3">
        <v>45742</v>
      </c>
      <c r="I191" s="2">
        <v>331.59</v>
      </c>
      <c r="J191" s="24">
        <f t="shared" ca="1" si="2"/>
        <v>46309.874604861114</v>
      </c>
      <c r="K191" s="5"/>
    </row>
    <row r="192" spans="1:11" ht="15.75" hidden="1" thickBot="1" x14ac:dyDescent="0.3">
      <c r="A192" s="1" t="s">
        <v>25</v>
      </c>
      <c r="B192" s="1" t="s">
        <v>10</v>
      </c>
      <c r="C192" s="1" t="s">
        <v>20</v>
      </c>
      <c r="D192" s="1" t="s">
        <v>15</v>
      </c>
      <c r="E192" s="2">
        <v>762.14</v>
      </c>
      <c r="F192" s="2">
        <v>9</v>
      </c>
      <c r="G192" s="2">
        <v>0</v>
      </c>
      <c r="H192" s="3">
        <v>45743</v>
      </c>
      <c r="I192" s="2">
        <v>381.07</v>
      </c>
      <c r="J192" s="24">
        <f t="shared" ca="1" si="2"/>
        <v>46309.874604861114</v>
      </c>
      <c r="K192" s="5"/>
    </row>
    <row r="193" spans="1:11" ht="15.75" hidden="1" thickBot="1" x14ac:dyDescent="0.3">
      <c r="A193" s="1" t="s">
        <v>22</v>
      </c>
      <c r="B193" s="1" t="s">
        <v>53</v>
      </c>
      <c r="C193" s="1" t="s">
        <v>24</v>
      </c>
      <c r="D193" s="1" t="s">
        <v>12</v>
      </c>
      <c r="E193" s="2">
        <v>750.71</v>
      </c>
      <c r="F193" s="2">
        <v>10</v>
      </c>
      <c r="G193" s="2">
        <v>0.15</v>
      </c>
      <c r="H193" s="3">
        <v>45743</v>
      </c>
      <c r="I193" s="2">
        <v>255.24</v>
      </c>
      <c r="J193" s="24">
        <f t="shared" ca="1" si="2"/>
        <v>46309.874604861114</v>
      </c>
      <c r="K193" s="6"/>
    </row>
    <row r="194" spans="1:11" ht="15.75" hidden="1" thickBot="1" x14ac:dyDescent="0.3">
      <c r="A194" s="1" t="s">
        <v>75</v>
      </c>
      <c r="B194" s="1" t="s">
        <v>71</v>
      </c>
      <c r="C194" s="1" t="s">
        <v>34</v>
      </c>
      <c r="D194" s="1" t="s">
        <v>15</v>
      </c>
      <c r="E194" s="2">
        <v>1456.94</v>
      </c>
      <c r="F194" s="2">
        <v>14</v>
      </c>
      <c r="G194" s="2">
        <v>0.05</v>
      </c>
      <c r="H194" s="3">
        <v>45745</v>
      </c>
      <c r="I194" s="2">
        <v>692.05</v>
      </c>
      <c r="J194" s="24">
        <f t="shared" ca="1" si="2"/>
        <v>46309.874604861114</v>
      </c>
      <c r="K194" s="5"/>
    </row>
    <row r="195" spans="1:11" ht="30.75" hidden="1" thickBot="1" x14ac:dyDescent="0.3">
      <c r="A195" s="1" t="s">
        <v>44</v>
      </c>
      <c r="B195" s="1" t="s">
        <v>61</v>
      </c>
      <c r="C195" s="1" t="s">
        <v>18</v>
      </c>
      <c r="D195" s="1" t="s">
        <v>27</v>
      </c>
      <c r="E195" s="2">
        <v>1093.3800000000001</v>
      </c>
      <c r="F195" s="2">
        <v>17</v>
      </c>
      <c r="G195" s="2">
        <v>0.1</v>
      </c>
      <c r="H195" s="3">
        <v>45745</v>
      </c>
      <c r="I195" s="2">
        <v>344.41</v>
      </c>
      <c r="J195" s="24">
        <f t="shared" ref="J195:J201" ca="1" si="3">NOW()</f>
        <v>46309.874604861114</v>
      </c>
      <c r="K195" s="5"/>
    </row>
    <row r="196" spans="1:11" ht="15.75" hidden="1" thickBot="1" x14ac:dyDescent="0.3">
      <c r="A196" s="1" t="s">
        <v>37</v>
      </c>
      <c r="B196" s="1" t="s">
        <v>43</v>
      </c>
      <c r="C196" s="1" t="s">
        <v>11</v>
      </c>
      <c r="D196" s="1" t="s">
        <v>15</v>
      </c>
      <c r="E196" s="2">
        <v>934.27</v>
      </c>
      <c r="F196" s="2">
        <v>8</v>
      </c>
      <c r="G196" s="2">
        <v>0.15</v>
      </c>
      <c r="H196" s="3">
        <v>45746</v>
      </c>
      <c r="I196" s="2">
        <v>397.06</v>
      </c>
      <c r="J196" s="24">
        <f t="shared" ca="1" si="3"/>
        <v>46309.874604861114</v>
      </c>
      <c r="K196" s="5"/>
    </row>
    <row r="197" spans="1:11" ht="15.75" hidden="1" thickBot="1" x14ac:dyDescent="0.3">
      <c r="A197" s="1" t="s">
        <v>70</v>
      </c>
      <c r="B197" s="1" t="s">
        <v>36</v>
      </c>
      <c r="C197" s="1" t="s">
        <v>34</v>
      </c>
      <c r="D197" s="1" t="s">
        <v>15</v>
      </c>
      <c r="E197" s="2">
        <v>1465.35</v>
      </c>
      <c r="F197" s="2">
        <v>8</v>
      </c>
      <c r="G197" s="2">
        <v>0.2</v>
      </c>
      <c r="H197" s="3">
        <v>45746</v>
      </c>
      <c r="I197" s="2">
        <v>586.14</v>
      </c>
      <c r="J197" s="24">
        <f t="shared" ca="1" si="3"/>
        <v>46309.874604861114</v>
      </c>
      <c r="K197" s="6"/>
    </row>
    <row r="198" spans="1:11" ht="30.75" hidden="1" thickBot="1" x14ac:dyDescent="0.3">
      <c r="A198" s="1" t="s">
        <v>52</v>
      </c>
      <c r="B198" s="1" t="s">
        <v>14</v>
      </c>
      <c r="C198" s="1" t="s">
        <v>20</v>
      </c>
      <c r="D198" s="1" t="s">
        <v>39</v>
      </c>
      <c r="E198" s="2">
        <v>740.8</v>
      </c>
      <c r="F198" s="2">
        <v>3</v>
      </c>
      <c r="G198" s="2">
        <v>0</v>
      </c>
      <c r="H198" s="3">
        <v>45749</v>
      </c>
      <c r="I198" s="2">
        <v>333.36</v>
      </c>
      <c r="J198" s="24">
        <f t="shared" ca="1" si="3"/>
        <v>46309.874604861114</v>
      </c>
      <c r="K198" s="5"/>
    </row>
    <row r="199" spans="1:11" ht="30.75" hidden="1" thickBot="1" x14ac:dyDescent="0.3">
      <c r="A199" s="1" t="s">
        <v>58</v>
      </c>
      <c r="B199" s="1" t="s">
        <v>43</v>
      </c>
      <c r="C199" s="1" t="s">
        <v>11</v>
      </c>
      <c r="D199" s="1" t="s">
        <v>39</v>
      </c>
      <c r="E199" s="2">
        <v>545.44000000000005</v>
      </c>
      <c r="F199" s="2">
        <v>17</v>
      </c>
      <c r="G199" s="2">
        <v>0</v>
      </c>
      <c r="H199" s="3">
        <v>45752</v>
      </c>
      <c r="I199" s="2">
        <v>245.45</v>
      </c>
      <c r="J199" s="24">
        <f t="shared" ca="1" si="3"/>
        <v>46309.874604861114</v>
      </c>
      <c r="K199" s="5"/>
    </row>
    <row r="200" spans="1:11" ht="15.75" hidden="1" thickBot="1" x14ac:dyDescent="0.3">
      <c r="A200" s="1" t="s">
        <v>35</v>
      </c>
      <c r="B200" s="1" t="s">
        <v>36</v>
      </c>
      <c r="C200" s="1" t="s">
        <v>18</v>
      </c>
      <c r="D200" s="1" t="s">
        <v>12</v>
      </c>
      <c r="E200" s="2">
        <v>997.61</v>
      </c>
      <c r="F200" s="2">
        <v>8</v>
      </c>
      <c r="G200" s="2">
        <v>0.05</v>
      </c>
      <c r="H200" s="3">
        <v>45752</v>
      </c>
      <c r="I200" s="2">
        <v>379.09</v>
      </c>
      <c r="J200" s="24">
        <f t="shared" ca="1" si="3"/>
        <v>46309.874604861114</v>
      </c>
      <c r="K200" s="5"/>
    </row>
    <row r="201" spans="1:11" ht="15.75" hidden="1" thickBot="1" x14ac:dyDescent="0.3">
      <c r="A201" s="1" t="s">
        <v>60</v>
      </c>
      <c r="B201" s="1" t="s">
        <v>36</v>
      </c>
      <c r="C201" s="1" t="s">
        <v>20</v>
      </c>
      <c r="D201" s="1" t="s">
        <v>15</v>
      </c>
      <c r="E201" s="2">
        <v>928.32</v>
      </c>
      <c r="F201" s="2">
        <v>2</v>
      </c>
      <c r="G201" s="2">
        <v>0.05</v>
      </c>
      <c r="H201" s="3">
        <v>45754</v>
      </c>
      <c r="I201" s="2">
        <v>440.95</v>
      </c>
      <c r="J201" s="24">
        <f t="shared" ca="1" si="3"/>
        <v>46309.874604861114</v>
      </c>
      <c r="K201" s="6"/>
    </row>
  </sheetData>
  <autoFilter ref="A1:J201" xr:uid="{7435B1F3-5CB8-4D87-A469-1BB4A4BFEA60}">
    <filterColumn colId="4">
      <top10 val="10" filterVal="1493.49"/>
    </filterColumn>
  </autoFilter>
  <conditionalFormatting sqref="B1:B201">
    <cfRule type="expression" dxfId="5" priority="6">
      <formula>SUMIF($B$2:$B$201, $B2, $E$2:$E$201) &gt;= LARGE(SUMIF($B$2:$B$201, $B$2:$B$201, $E$2:$E$201), 10)</formula>
    </cfRule>
  </conditionalFormatting>
  <conditionalFormatting sqref="L2">
    <cfRule type="expression" dxfId="4" priority="5">
      <formula>SUMIF($B$2:$B$201, $B3, $E$2:$E$201) &gt;= LARGE(SUMIF($B$2:$B$201, $B$2:$B$201, $E$2:$E$201), 10)</formula>
    </cfRule>
  </conditionalFormatting>
  <conditionalFormatting sqref="L3">
    <cfRule type="expression" dxfId="3" priority="4">
      <formula>SUMIF($B$2:$B$201, $B4, $E$2:$E$201) &gt;= LARGE(SUMIF($B$2:$B$201, $B$2:$B$201, $E$2:$E$201), 10)</formula>
    </cfRule>
  </conditionalFormatting>
  <conditionalFormatting sqref="L4">
    <cfRule type="expression" dxfId="2" priority="3">
      <formula>SUMIF($B$2:$B$201, $B5, $E$2:$E$201) &gt;= LARGE(SUMIF($B$2:$B$201, $B$2:$B$201, $E$2:$E$201), 10)</formula>
    </cfRule>
  </conditionalFormatting>
  <conditionalFormatting sqref="L5">
    <cfRule type="expression" dxfId="1" priority="2">
      <formula>SUMIF($B$2:$B$201, $B6, $E$2:$E$201) &gt;= LARGE(SUMIF($B$2:$B$201, $B$2:$B$201, $E$2:$E$201), 10)</formula>
    </cfRule>
  </conditionalFormatting>
  <conditionalFormatting sqref="L6">
    <cfRule type="expression" dxfId="0" priority="1">
      <formula>SUMIF($B$2:$B$201, $B7, $E$2:$E$201) &gt;= LARGE(SUMIF($B$2:$B$201, $B$2:$B$201, $E$2:$E$201), 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Scenario Summary</vt:lpstr>
      <vt:lpstr>regression</vt:lpstr>
      <vt:lpstr>Descriptive Statistics.</vt:lpstr>
      <vt:lpstr>Sheet5</vt:lpstr>
      <vt:lpstr>pivot table</vt:lpstr>
      <vt:lpstr>Dashboard</vt:lpstr>
      <vt:lpstr>top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FUZITSU</dc:creator>
  <cp:lastModifiedBy>FUZITSU</cp:lastModifiedBy>
  <dcterms:created xsi:type="dcterms:W3CDTF">2026-10-14T10:42:26Z</dcterms:created>
  <dcterms:modified xsi:type="dcterms:W3CDTF">2026-10-14T15:30:01Z</dcterms:modified>
</cp:coreProperties>
</file>